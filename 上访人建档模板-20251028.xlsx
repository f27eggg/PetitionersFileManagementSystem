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上访人档案表" sheetId="1" r:id="rId1"/>
    <sheet name="具体反侦察手段统计表" sheetId="2" r:id="rId2"/>
    <sheet name="Sheet1" sheetId="4" state="hidden" r:id="rId3"/>
    <sheet name="在京通行方式赋分统计表" sheetId="3" r:id="rId4"/>
    <sheet name="Sheet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1-2次：每次1分（初次或少量）
3-5次：每次2分（多次，形成习惯）
6次以上：每次3分（频繁，顽固性强）</t>
        </r>
      </text>
    </comment>
    <comment ref="A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否的话加三分，是不加分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<sst xmlns="http://schemas.openxmlformats.org/spreadsheetml/2006/main" count="357" uniqueCount="194">
  <si>
    <t>上访人档案</t>
  </si>
  <si>
    <t>个人信息</t>
  </si>
  <si>
    <t>在京关系人</t>
  </si>
  <si>
    <t>信访案件</t>
  </si>
  <si>
    <t>评估结果</t>
  </si>
  <si>
    <t>姓名</t>
  </si>
  <si>
    <t>身份证号</t>
  </si>
  <si>
    <t>性别</t>
  </si>
  <si>
    <t>籍贯</t>
  </si>
  <si>
    <t>学历</t>
  </si>
  <si>
    <t>联系方式1</t>
  </si>
  <si>
    <t>联系方式2</t>
  </si>
  <si>
    <t>联系方式3</t>
  </si>
  <si>
    <t>婚姻状态</t>
  </si>
  <si>
    <t>曾用名</t>
  </si>
  <si>
    <t>职业/收入来源</t>
  </si>
  <si>
    <t>工作地址</t>
  </si>
  <si>
    <t>配偶</t>
  </si>
  <si>
    <t>赴京上访次数</t>
  </si>
  <si>
    <t>是否懂技侦手段</t>
  </si>
  <si>
    <t>具体反侦察手段</t>
  </si>
  <si>
    <t>描述</t>
  </si>
  <si>
    <t>消费住宿习惯</t>
  </si>
  <si>
    <t>常住地址</t>
  </si>
  <si>
    <t>曾驻地</t>
  </si>
  <si>
    <t>与信访人关系</t>
  </si>
  <si>
    <t>协助描述</t>
  </si>
  <si>
    <t>诉求描述</t>
  </si>
  <si>
    <t>是否能解决</t>
  </si>
  <si>
    <t>解决方式</t>
  </si>
  <si>
    <t>信访人上访轨迹</t>
  </si>
  <si>
    <t>进京方式</t>
  </si>
  <si>
    <t>在京通行方式</t>
  </si>
  <si>
    <t>有无接应人</t>
  </si>
  <si>
    <t>统计分值</t>
  </si>
  <si>
    <t>危险等级</t>
  </si>
  <si>
    <t>胡萝卜</t>
  </si>
  <si>
    <t>37012319991115003X</t>
  </si>
  <si>
    <t>男</t>
  </si>
  <si>
    <t>汉族</t>
  </si>
  <si>
    <t>本科</t>
  </si>
  <si>
    <t>未婚</t>
  </si>
  <si>
    <t>务农</t>
  </si>
  <si>
    <t>北京市海淀区万科翠湖南路五号楼</t>
  </si>
  <si>
    <t>是</t>
  </si>
  <si>
    <t>频繁更换手机号码（月换≥3次）</t>
  </si>
  <si>
    <t>否</t>
  </si>
  <si>
    <t>自驾车</t>
  </si>
  <si>
    <t>地铁</t>
  </si>
  <si>
    <t>一级分类</t>
  </si>
  <si>
    <t>二级分类</t>
  </si>
  <si>
    <t>具体手段</t>
  </si>
  <si>
    <t>对应分值</t>
  </si>
  <si>
    <t>备注说明</t>
  </si>
  <si>
    <t>通讯隐蔽类</t>
  </si>
  <si>
    <t>号码管理</t>
  </si>
  <si>
    <t>使用非实名预付费手机卡</t>
  </si>
  <si>
    <t>使用无需实名登记的手机卡，切断通讯实名关联</t>
  </si>
  <si>
    <t>短期密集更换号码，干扰通讯行为分析</t>
  </si>
  <si>
    <t>设备管理</t>
  </si>
  <si>
    <t>手机关机或飞行模式出行</t>
  </si>
  <si>
    <t>关键时段完全切断通讯信号，规避基站定位</t>
  </si>
  <si>
    <t>拔掉SIM卡单独存放</t>
  </si>
  <si>
    <t>物理隔离手机与SIM卡，彻底规避任何定位可能</t>
  </si>
  <si>
    <t>使用多部手机分功能使用</t>
  </si>
  <si>
    <t>不同用途使用不同手机，分离日常通讯与敏感活动</t>
  </si>
  <si>
    <t>通讯工具</t>
  </si>
  <si>
    <t>使用网络虚拟号码/网络电话</t>
  </si>
  <si>
    <t>通过网络获取虚拟号码，规避传统通讯监控</t>
  </si>
  <si>
    <t>使用境外通讯软件</t>
  </si>
  <si>
    <t>使用国外开发的加密通讯软件进行重要联络</t>
  </si>
  <si>
    <t>通讯方式</t>
  </si>
  <si>
    <t>公共电话/他人手机联络</t>
  </si>
  <si>
    <t>使用公共电话亭或借用他人手机，规避个人通讯记录</t>
  </si>
  <si>
    <t>行动轨迹隐蔽类</t>
  </si>
  <si>
    <t>路线选择</t>
  </si>
  <si>
    <t>绕路进京（非直达路线）</t>
  </si>
  <si>
    <t>故意选择迂回路线，增加行动轨迹分析难度</t>
  </si>
  <si>
    <t>中途频繁换乘交通工具</t>
  </si>
  <si>
    <t>火车、汽车、出租车多次换乘，干扰追踪</t>
  </si>
  <si>
    <t>声东击西虚假报备行程</t>
  </si>
  <si>
    <t>故意释放虚假行程信息，误导监控方向</t>
  </si>
  <si>
    <t>时间选择</t>
  </si>
  <si>
    <t>选择夜间或凌晨出行</t>
  </si>
  <si>
    <t>利用夜间监管相对薄弱时段进行活动转移</t>
  </si>
  <si>
    <t>提前数日出发、途中停留</t>
  </si>
  <si>
    <t>打时间差，不直接抵达目的地，混淆行动时间线</t>
  </si>
  <si>
    <t>交通工具</t>
  </si>
  <si>
    <t>使用黑车、顺风车等非正规交通</t>
  </si>
  <si>
    <t>选择非正规营运车辆，规避交通购票系统记录</t>
  </si>
  <si>
    <t>分段购票规避直达监控</t>
  </si>
  <si>
    <t>将长途行程拆分为多个短途，规避直达车次监控</t>
  </si>
  <si>
    <t>选择非实名制交通工具</t>
  </si>
  <si>
    <t>优先选择不需实名登记的交通工具出行</t>
  </si>
  <si>
    <t>反监控行为</t>
  </si>
  <si>
    <t>反跟踪观察</t>
  </si>
  <si>
    <t>具备基本反跟踪意识，会观察是否有人尾随</t>
  </si>
  <si>
    <t>刻意避开监控摄像头</t>
  </si>
  <si>
    <t>行走时故意选择监控盲区或低头躲避摄像头</t>
  </si>
  <si>
    <t>身份伪装类</t>
  </si>
  <si>
    <t>外貌伪装</t>
  </si>
  <si>
    <t>伪装残疾人/病人/孕妇</t>
  </si>
  <si>
    <t>利用特殊身份博取同情，同时降低被关注程度</t>
  </si>
  <si>
    <t>改变发型、着装风格</t>
  </si>
  <si>
    <t>刻意改变外貌特征，规避人脸识别和目视识别</t>
  </si>
  <si>
    <t>化妆、戴假发、墨镜遮掩</t>
  </si>
  <si>
    <t>物理伪装手段，干扰人脸识别系统运作</t>
  </si>
  <si>
    <t>证件伪造</t>
  </si>
  <si>
    <t>使用伪造、变造身份证件</t>
  </si>
  <si>
    <t>使用伪造或变造的身份证件应对检查</t>
  </si>
  <si>
    <t>冒用他人身份信息</t>
  </si>
  <si>
    <t>盗用或借用他人身份进行住宿、购票等活动</t>
  </si>
  <si>
    <t>证件管理</t>
  </si>
  <si>
    <t>携带多个身份证件</t>
  </si>
  <si>
    <t>准备多个真实或伪造证件应对不同检查场合</t>
  </si>
  <si>
    <t>信息提供</t>
  </si>
  <si>
    <t>故意提供虚假个人信息</t>
  </si>
  <si>
    <t>在被询问时提供虚假姓名、住址等基本信息</t>
  </si>
  <si>
    <t>住宿消费隐蔽类</t>
  </si>
  <si>
    <t>住宿选择</t>
  </si>
  <si>
    <t>频繁更换住宿地点（3天1换）</t>
  </si>
  <si>
    <t>不固定住宿地点，增加追踪和定位难度</t>
  </si>
  <si>
    <t>选择偏远郊区小旅馆</t>
  </si>
  <si>
    <t>避开中心区域重点监管，选择管理相对松散区域</t>
  </si>
  <si>
    <t>借宿同乡、亲戚住处</t>
  </si>
  <si>
    <t>不选择旅馆住宿，借住在熟人处，规避住宿登记系统</t>
  </si>
  <si>
    <t>网吧、洗浴中心等过夜</t>
  </si>
  <si>
    <t>选择24小时营业场所过夜，避免旅馆实名登记</t>
  </si>
  <si>
    <t>多人合住分摊费用</t>
  </si>
  <si>
    <t>多人共同住宿分摊成本，同时分散关注度</t>
  </si>
  <si>
    <t>支付方式</t>
  </si>
  <si>
    <t>使用现金支付避免电子交易</t>
  </si>
  <si>
    <t>全程使用现金，规避电子支付留下的资金流向记录</t>
  </si>
  <si>
    <t>使用他人银行卡取现</t>
  </si>
  <si>
    <t>借用他人银行卡进行取款，规避个人资金流水监控</t>
  </si>
  <si>
    <t>活动区域</t>
  </si>
  <si>
    <t>在监管薄弱区域活动</t>
  </si>
  <si>
    <t>专门选择治安监控相对薄弱的城乡结合部活动</t>
  </si>
  <si>
    <t>联络组织类</t>
  </si>
  <si>
    <t>联络方式</t>
  </si>
  <si>
    <t>使用暗号、密码联络</t>
  </si>
  <si>
    <t>通讯中使用特定暗语、代号，内容经过加密</t>
  </si>
  <si>
    <t>单线联系，层级分明</t>
  </si>
  <si>
    <t>建立组织化联络体系，上下级单线联系</t>
  </si>
  <si>
    <t>定时定点联络</t>
  </si>
  <si>
    <t>建立规律但隐蔽的联系方式，既保证联络又降低风险</t>
  </si>
  <si>
    <t>通过中间人传递信息</t>
  </si>
  <si>
    <t>不直接联系，通过可信中间人传递关键信息</t>
  </si>
  <si>
    <t>组织行为</t>
  </si>
  <si>
    <t>教授他人反侦察手段</t>
  </si>
  <si>
    <t>向其他人员传授反侦察经验，扩大影响范围</t>
  </si>
  <si>
    <t>组建上访互助群组</t>
  </si>
  <si>
    <t>组建稳定的互助组织，共享经验协调行动</t>
  </si>
  <si>
    <t>分工协作，望风把守</t>
  </si>
  <si>
    <t>团队作案，有明确分工，安排专人负责警戒</t>
  </si>
  <si>
    <t>信息对抗类</t>
  </si>
  <si>
    <t>知识学习</t>
  </si>
  <si>
    <t>研究法律法规漏洞</t>
  </si>
  <si>
    <t>深入研究法律条文，寻找可钻的空子和边界</t>
  </si>
  <si>
    <t>学习技侦监控知识</t>
  </si>
  <si>
    <t>主动学习了解技术侦查手段，针对性规避</t>
  </si>
  <si>
    <t>研究敏感时段规律</t>
  </si>
  <si>
    <t>分析重大活动期间管控特点，寻找可乘之机</t>
  </si>
  <si>
    <t>信息操纵</t>
  </si>
  <si>
    <t>散布虚假信息误导</t>
  </si>
  <si>
    <t>系统性散布虚假信息，干扰情报分析判断</t>
  </si>
  <si>
    <t>利用媒体报道施压</t>
  </si>
  <si>
    <t>主动联系媒体记者，企图通过舆论施加压力</t>
  </si>
  <si>
    <t>一级级联</t>
  </si>
  <si>
    <t>二级级联</t>
  </si>
  <si>
    <t>x</t>
  </si>
  <si>
    <t>分值</t>
  </si>
  <si>
    <t>说明</t>
  </si>
  <si>
    <t>备注：采用组合计分的方式，对于上访人采用多种出行方式的，按照分值累加</t>
  </si>
  <si>
    <t>行动最自由，最难监控</t>
  </si>
  <si>
    <t>私家车接应</t>
  </si>
  <si>
    <t>私密性最强，难以追踪</t>
  </si>
  <si>
    <t>拼车/顺风车</t>
  </si>
  <si>
    <t>非正规交通，难以追踪</t>
  </si>
  <si>
    <t>出租车/网约车</t>
  </si>
  <si>
    <t>机动性强，目的地灵活</t>
  </si>
  <si>
    <t>长途汽车</t>
  </si>
  <si>
    <t>购票系统相对松散</t>
  </si>
  <si>
    <t>相对可控的公共交通</t>
  </si>
  <si>
    <t>普通火车</t>
  </si>
  <si>
    <t>常规交通方式</t>
  </si>
  <si>
    <t>公交</t>
  </si>
  <si>
    <t>线路固定，相对容易监控</t>
  </si>
  <si>
    <t>高铁/动车</t>
  </si>
  <si>
    <t>实名制严格，相对可控</t>
  </si>
  <si>
    <t>步行/自行车</t>
  </si>
  <si>
    <t>活动范围有限</t>
  </si>
  <si>
    <t>飞机</t>
  </si>
  <si>
    <t>安检最严格，最容易监控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</si>
</sst>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0">
    <font>
      <sz val="11"/>
      <color theme="1"/>
      <name val="宋体"/>
      <charset val="134"/>
      <scheme val="minor"/>
    </font>
    <font>
      <b/>
      <sz val="12"/>
      <color rgb="FF0F1115"/>
      <name val="var(--dsw-font-markdown-table-h"/>
      <charset val="134"/>
    </font>
    <font>
      <b/>
      <sz val="12"/>
      <color rgb="FF0F1115"/>
      <name val="宋体"/>
      <charset val="134"/>
    </font>
    <font>
      <sz val="12"/>
      <color rgb="FF0F1115"/>
      <name val="var(--dsw-font-markdown-table)"/>
      <charset val="134"/>
    </font>
    <font>
      <sz val="12"/>
      <color rgb="FF0F1115"/>
      <name val="Segoe UI"/>
      <charset val="134"/>
    </font>
    <font>
      <sz val="12"/>
      <color rgb="FF0F1115"/>
      <name val="宋体"/>
      <charset val="134"/>
    </font>
    <font>
      <sz val="11"/>
      <color rgb="FF0F1115"/>
      <name val="var(--ds-font-family-code)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9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NumberFormat="1" applyAlignment="1">
      <alignment vertical="center" wrapText="1"/>
    </xf>
    <xf numFmtId="0" fontId="0" fillId="0" borderId="0" xfId="0" applyNumberFormat="1">
      <alignment vertical="center"/>
    </xf>
    <xf numFmtId="49" fontId="0" fillId="4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176" fontId="0" fillId="4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8" fillId="0" borderId="1" xfId="0" applyNumberFormat="1" applyFont="1" applyBorder="1">
      <alignment vertical="center"/>
    </xf>
    <xf numFmtId="0" fontId="0" fillId="0" borderId="2" xfId="0" applyNumberFormat="1" applyBorder="1">
      <alignment vertical="center"/>
    </xf>
    <xf numFmtId="49" fontId="0" fillId="6" borderId="3" xfId="0" applyNumberFormat="1" applyFill="1" applyBorder="1" applyAlignment="1">
      <alignment horizontal="center" vertical="center"/>
    </xf>
    <xf numFmtId="49" fontId="0" fillId="6" borderId="4" xfId="0" applyNumberFormat="1" applyFill="1" applyBorder="1" applyAlignment="1">
      <alignment horizontal="center" vertical="center"/>
    </xf>
    <xf numFmtId="49" fontId="7" fillId="0" borderId="1" xfId="0" applyNumberFormat="1" applyFont="1" applyBorder="1">
      <alignment vertical="center"/>
    </xf>
    <xf numFmtId="49" fontId="0" fillId="0" borderId="2" xfId="0" applyNumberFormat="1" applyBorder="1">
      <alignment vertical="center"/>
    </xf>
    <xf numFmtId="49" fontId="0" fillId="6" borderId="5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1" xfId="0" applyNumberFormat="1" applyBorder="1">
      <alignment vertical="center"/>
    </xf>
    <xf numFmtId="0" fontId="0" fillId="4" borderId="1" xfId="0" applyNumberFormat="1" applyFill="1" applyBorder="1" applyAlignment="1">
      <alignment horizontal="center" vertical="center" wrapText="1"/>
    </xf>
    <xf numFmtId="0" fontId="0" fillId="8" borderId="1" xfId="0" applyNumberForma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horizontal="center" vertical="center"/>
    </xf>
    <xf numFmtId="0" fontId="0" fillId="9" borderId="1" xfId="0" applyNumberFormat="1" applyFill="1" applyBorder="1" applyAlignment="1">
      <alignment vertical="center" wrapText="1"/>
    </xf>
    <xf numFmtId="49" fontId="0" fillId="9" borderId="1" xfId="0" applyNumberFormat="1" applyFill="1" applyBorder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1" displayName="Table1" ref="A:C" totalsRowShown="0">
  <autoFilter xmlns:etc="http://www.wps.cn/officeDocument/2017/etCustomData" ref="A1:C1048576" etc:filterBottomFollowUsedRange="0"/>
  <tableColumns count="3">
    <tableColumn id="1" name="一级分类"/>
    <tableColumn id="2" name="二级分类" dataDxfId="0"/>
    <tableColumn id="3" name="具体手段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H169"/>
  <sheetViews>
    <sheetView tabSelected="1" zoomScale="115" zoomScaleNormal="115" topLeftCell="T1" workbookViewId="0">
      <selection activeCell="AG13" sqref="AG13"/>
    </sheetView>
  </sheetViews>
  <sheetFormatPr defaultColWidth="9" defaultRowHeight="14"/>
  <cols>
    <col min="1" max="1" width="14.2545454545455" customWidth="1"/>
    <col min="2" max="2" width="7" style="18" customWidth="1"/>
    <col min="3" max="3" width="20.3727272727273" style="18" customWidth="1"/>
    <col min="4" max="4" width="5.87272727272727" style="18" customWidth="1"/>
    <col min="5" max="5" width="5.75454545454545" style="18" customWidth="1"/>
    <col min="6" max="6" width="5.12727272727273" style="18" customWidth="1"/>
    <col min="7" max="7" width="12.6272727272727" style="18" customWidth="1"/>
    <col min="8" max="10" width="10.6272727272727" style="18" customWidth="1"/>
    <col min="11" max="11" width="7.87272727272727" style="18" customWidth="1"/>
    <col min="12" max="12" width="15.1818181818182" style="18" customWidth="1"/>
    <col min="13" max="13" width="31.6272727272727" style="18" customWidth="1"/>
    <col min="14" max="14" width="12.5" style="18" customWidth="1"/>
    <col min="15" max="15" width="14.5" style="19" customWidth="1"/>
    <col min="16" max="16" width="15" style="18" customWidth="1"/>
    <col min="17" max="17" width="28.7" style="18" customWidth="1"/>
    <col min="18" max="18" width="5.54545454545455" style="18" customWidth="1"/>
    <col min="19" max="19" width="14" style="18" customWidth="1"/>
    <col min="20" max="20" width="13.0909090909091" style="18" customWidth="1"/>
    <col min="21" max="21" width="5.54545454545455" style="18" customWidth="1"/>
    <col min="22" max="22" width="7.54545454545455" style="18" customWidth="1"/>
    <col min="23" max="23" width="9.54545454545454" style="18" customWidth="1"/>
    <col min="24" max="24" width="14" style="18" customWidth="1"/>
    <col min="25" max="26" width="9.54545454545454" style="18" customWidth="1"/>
    <col min="27" max="27" width="11.8181818181818" style="18" customWidth="1"/>
    <col min="28" max="28" width="9.54545454545454" style="18" customWidth="1"/>
    <col min="29" max="29" width="16.2727272727273" style="18" customWidth="1"/>
    <col min="30" max="30" width="12.9090909090909" style="18" customWidth="1"/>
    <col min="31" max="31" width="14" style="18" customWidth="1"/>
    <col min="32" max="32" width="11.8181818181818" style="18" customWidth="1"/>
    <col min="33" max="33" width="9.54545454545454" style="20" customWidth="1"/>
    <col min="34" max="34" width="9.54545454545454" style="21" customWidth="1"/>
    <col min="35" max="35" width="15" customWidth="1"/>
    <col min="36" max="36" width="10.8727272727273" customWidth="1"/>
  </cols>
  <sheetData>
    <row r="1" spans="2:34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6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40"/>
      <c r="AH1" s="22"/>
    </row>
    <row r="2" spans="2:34">
      <c r="B2" s="23" t="s">
        <v>1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7"/>
      <c r="P2" s="23"/>
      <c r="Q2" s="23"/>
      <c r="R2" s="23"/>
      <c r="S2" s="23"/>
      <c r="T2" s="23"/>
      <c r="U2" s="31" t="s">
        <v>2</v>
      </c>
      <c r="V2" s="32"/>
      <c r="W2" s="32"/>
      <c r="X2" s="32"/>
      <c r="Y2" s="35"/>
      <c r="Z2" s="36" t="s">
        <v>3</v>
      </c>
      <c r="AA2" s="36"/>
      <c r="AB2" s="36"/>
      <c r="AC2" s="36"/>
      <c r="AD2" s="36"/>
      <c r="AE2" s="36"/>
      <c r="AF2" s="36"/>
      <c r="AG2" s="41" t="s">
        <v>4</v>
      </c>
      <c r="AH2" s="42"/>
    </row>
    <row r="3" spans="2:34">
      <c r="B3" s="24" t="s">
        <v>5</v>
      </c>
      <c r="C3" s="24" t="s">
        <v>6</v>
      </c>
      <c r="D3" s="24" t="s">
        <v>7</v>
      </c>
      <c r="E3" s="24" t="s">
        <v>8</v>
      </c>
      <c r="F3" s="24" t="s">
        <v>9</v>
      </c>
      <c r="G3" s="24" t="s">
        <v>10</v>
      </c>
      <c r="H3" s="24" t="s">
        <v>11</v>
      </c>
      <c r="I3" s="24" t="s">
        <v>12</v>
      </c>
      <c r="J3" s="24" t="s">
        <v>13</v>
      </c>
      <c r="K3" s="24" t="s">
        <v>14</v>
      </c>
      <c r="L3" s="24" t="s">
        <v>15</v>
      </c>
      <c r="M3" s="24" t="s">
        <v>16</v>
      </c>
      <c r="N3" s="24" t="s">
        <v>17</v>
      </c>
      <c r="O3" s="28" t="s">
        <v>18</v>
      </c>
      <c r="P3" s="29" t="s">
        <v>19</v>
      </c>
      <c r="Q3" s="33" t="s">
        <v>20</v>
      </c>
      <c r="R3" s="33" t="s">
        <v>21</v>
      </c>
      <c r="S3" s="24" t="s">
        <v>22</v>
      </c>
      <c r="T3" s="24" t="s">
        <v>23</v>
      </c>
      <c r="U3" s="24" t="s">
        <v>5</v>
      </c>
      <c r="V3" s="24" t="s">
        <v>24</v>
      </c>
      <c r="W3" s="24" t="s">
        <v>6</v>
      </c>
      <c r="X3" s="24" t="s">
        <v>25</v>
      </c>
      <c r="Y3" s="24" t="s">
        <v>26</v>
      </c>
      <c r="Z3" s="37" t="s">
        <v>27</v>
      </c>
      <c r="AA3" s="33" t="s">
        <v>28</v>
      </c>
      <c r="AB3" s="24" t="s">
        <v>29</v>
      </c>
      <c r="AC3" s="24" t="s">
        <v>30</v>
      </c>
      <c r="AD3" s="33" t="s">
        <v>31</v>
      </c>
      <c r="AE3" s="33" t="s">
        <v>32</v>
      </c>
      <c r="AF3" s="33" t="s">
        <v>33</v>
      </c>
      <c r="AG3" s="43" t="s">
        <v>34</v>
      </c>
      <c r="AH3" s="44" t="s">
        <v>35</v>
      </c>
    </row>
    <row r="4" spans="2:34">
      <c r="B4" s="25" t="s">
        <v>36</v>
      </c>
      <c r="C4" s="25" t="s">
        <v>37</v>
      </c>
      <c r="D4" s="25" t="s">
        <v>38</v>
      </c>
      <c r="E4" s="25" t="s">
        <v>39</v>
      </c>
      <c r="F4" s="25" t="s">
        <v>40</v>
      </c>
      <c r="G4" s="25">
        <v>17611150060</v>
      </c>
      <c r="H4" s="25"/>
      <c r="I4" s="25"/>
      <c r="J4" s="25" t="s">
        <v>41</v>
      </c>
      <c r="K4" s="25"/>
      <c r="L4" s="25" t="s">
        <v>42</v>
      </c>
      <c r="M4" s="25" t="s">
        <v>43</v>
      </c>
      <c r="N4" s="30" t="str">
        <f>IF(J4="未婚","无","")</f>
        <v>无</v>
      </c>
      <c r="O4" s="30">
        <v>1</v>
      </c>
      <c r="P4" s="25" t="s">
        <v>44</v>
      </c>
      <c r="Q4" s="25" t="s">
        <v>45</v>
      </c>
      <c r="R4" s="25"/>
      <c r="S4" s="25"/>
      <c r="T4" s="25"/>
      <c r="U4" s="25"/>
      <c r="V4" s="25"/>
      <c r="W4" s="25"/>
      <c r="X4" s="25"/>
      <c r="Y4" s="25"/>
      <c r="Z4" s="38"/>
      <c r="AA4" s="25" t="s">
        <v>46</v>
      </c>
      <c r="AB4" s="25"/>
      <c r="AC4" s="25"/>
      <c r="AD4" s="25" t="s">
        <v>47</v>
      </c>
      <c r="AE4" s="25" t="s">
        <v>48</v>
      </c>
      <c r="AF4" s="25"/>
      <c r="AG4" s="45" cm="1">
        <f t="array" ref="AG4">IF(Q4="",0,SUM(IF(ISNUMBER(FIND(具体反侦察手段统计表!C$2:C$45,Q4)),具体反侦察手段统计表!D$2:D$45,0)))+_xlfn.IFNA(VLOOKUP(AD4,在京通行方式赋分统计表!A:B,2,FALSE),0)+_xlfn.IFNA(VLOOKUP(AE4,在京通行方式赋分统计表!E:F,2,FALSE),0)+IF(O4="",0,IF(O4&gt;=6,8,IF(O4&gt;=4,5,IF(O4&gt;=2,3,IF(O4=1,1,0)))))+IF(AA4="否",3,0)</f>
        <v>17</v>
      </c>
      <c r="AH4" s="46"/>
    </row>
    <row r="5" spans="2:34"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30" t="str">
        <f t="shared" ref="N5:N36" si="0">IF(J5="未婚","无","")</f>
        <v/>
      </c>
      <c r="O5" s="30">
        <v>2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45"/>
      <c r="AH5" s="46"/>
    </row>
    <row r="6" spans="2:34"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30" t="str">
        <f t="shared" si="0"/>
        <v/>
      </c>
      <c r="O6" s="30">
        <v>6</v>
      </c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G6" s="45"/>
      <c r="AH6" s="46"/>
    </row>
    <row r="7" spans="2:34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30" t="str">
        <f t="shared" si="0"/>
        <v/>
      </c>
      <c r="O7" s="30"/>
      <c r="P7" s="24"/>
      <c r="Q7" s="24"/>
      <c r="R7" s="34"/>
      <c r="S7" s="30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45"/>
      <c r="AH7" s="46"/>
    </row>
    <row r="8" spans="2:34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30" t="str">
        <f t="shared" si="0"/>
        <v/>
      </c>
      <c r="O8" s="30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39"/>
      <c r="AD8" s="39"/>
      <c r="AE8" s="39"/>
      <c r="AF8" s="39"/>
      <c r="AG8" s="45"/>
      <c r="AH8" s="46"/>
    </row>
    <row r="9" spans="2:34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30" t="str">
        <f t="shared" si="0"/>
        <v/>
      </c>
      <c r="O9" s="30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45"/>
      <c r="AH9" s="46"/>
    </row>
    <row r="10" spans="2:34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30" t="str">
        <f t="shared" si="0"/>
        <v/>
      </c>
      <c r="O10" s="30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45"/>
      <c r="AH10" s="46"/>
    </row>
    <row r="11" spans="2:34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30" t="str">
        <f t="shared" si="0"/>
        <v/>
      </c>
      <c r="O11" s="30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45"/>
      <c r="AH11" s="46"/>
    </row>
    <row r="12" spans="2:34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30" t="str">
        <f t="shared" si="0"/>
        <v/>
      </c>
      <c r="O12" s="30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45"/>
      <c r="AH12" s="46"/>
    </row>
    <row r="13" spans="2:34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30" t="str">
        <f t="shared" si="0"/>
        <v/>
      </c>
      <c r="O13" s="30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45"/>
      <c r="AH13" s="46"/>
    </row>
    <row r="14" spans="2:34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30" t="str">
        <f t="shared" si="0"/>
        <v/>
      </c>
      <c r="O14" s="30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45"/>
      <c r="AH14" s="46"/>
    </row>
    <row r="15" spans="2:34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30" t="str">
        <f t="shared" si="0"/>
        <v/>
      </c>
      <c r="O15" s="30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45"/>
      <c r="AH15" s="46"/>
    </row>
    <row r="16" spans="2:34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30" t="str">
        <f t="shared" si="0"/>
        <v/>
      </c>
      <c r="O16" s="30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45"/>
      <c r="AH16" s="46"/>
    </row>
    <row r="17" spans="2:34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30" t="str">
        <f t="shared" si="0"/>
        <v/>
      </c>
      <c r="O17" s="30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45"/>
      <c r="AH17" s="46"/>
    </row>
    <row r="18" spans="2:34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30" t="str">
        <f t="shared" si="0"/>
        <v/>
      </c>
      <c r="O18" s="30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45"/>
      <c r="AH18" s="46"/>
    </row>
    <row r="19" spans="2:34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30" t="str">
        <f t="shared" si="0"/>
        <v/>
      </c>
      <c r="O19" s="30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45"/>
      <c r="AH19" s="46"/>
    </row>
    <row r="20" spans="2:34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30" t="str">
        <f t="shared" si="0"/>
        <v/>
      </c>
      <c r="O20" s="30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45"/>
      <c r="AH20" s="46"/>
    </row>
    <row r="21" spans="2:34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30" t="str">
        <f t="shared" si="0"/>
        <v/>
      </c>
      <c r="O21" s="30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45"/>
      <c r="AH21" s="46"/>
    </row>
    <row r="22" spans="2:34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30" t="str">
        <f t="shared" si="0"/>
        <v/>
      </c>
      <c r="O22" s="30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45"/>
      <c r="AH22" s="46"/>
    </row>
    <row r="23" spans="2:34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30" t="str">
        <f t="shared" si="0"/>
        <v/>
      </c>
      <c r="O23" s="30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45"/>
      <c r="AH23" s="46"/>
    </row>
    <row r="24" spans="2:34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30" t="str">
        <f t="shared" si="0"/>
        <v/>
      </c>
      <c r="O24" s="30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45"/>
      <c r="AH24" s="46"/>
    </row>
    <row r="25" spans="2:34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30" t="str">
        <f t="shared" si="0"/>
        <v/>
      </c>
      <c r="O25" s="30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45"/>
      <c r="AH25" s="46"/>
    </row>
    <row r="26" spans="2:34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30" t="str">
        <f t="shared" si="0"/>
        <v/>
      </c>
      <c r="O26" s="30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45"/>
      <c r="AH26" s="46"/>
    </row>
    <row r="27" spans="2:34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30" t="str">
        <f t="shared" si="0"/>
        <v/>
      </c>
      <c r="O27" s="30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45"/>
      <c r="AH27" s="46"/>
    </row>
    <row r="28" spans="2:34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30" t="str">
        <f t="shared" si="0"/>
        <v/>
      </c>
      <c r="O28" s="30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45"/>
      <c r="AH28" s="46"/>
    </row>
    <row r="29" spans="2:34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30" t="str">
        <f t="shared" si="0"/>
        <v/>
      </c>
      <c r="O29" s="30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45"/>
      <c r="AH29" s="46"/>
    </row>
    <row r="30" spans="2:34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30" t="str">
        <f t="shared" si="0"/>
        <v/>
      </c>
      <c r="O30" s="30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45"/>
      <c r="AH30" s="46"/>
    </row>
    <row r="31" spans="2:34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30" t="str">
        <f t="shared" si="0"/>
        <v/>
      </c>
      <c r="O31" s="30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45"/>
      <c r="AH31" s="46"/>
    </row>
    <row r="32" spans="2:34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30" t="str">
        <f t="shared" si="0"/>
        <v/>
      </c>
      <c r="O32" s="30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45"/>
      <c r="AH32" s="46"/>
    </row>
    <row r="33" spans="2:34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30" t="str">
        <f t="shared" si="0"/>
        <v/>
      </c>
      <c r="O33" s="30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45"/>
      <c r="AH33" s="46"/>
    </row>
    <row r="34" spans="2:34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30" t="str">
        <f t="shared" si="0"/>
        <v/>
      </c>
      <c r="O34" s="30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45"/>
      <c r="AH34" s="46"/>
    </row>
    <row r="35" spans="2:34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30" t="str">
        <f t="shared" si="0"/>
        <v/>
      </c>
      <c r="O35" s="30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45"/>
      <c r="AH35" s="46"/>
    </row>
    <row r="36" spans="2:34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30" t="str">
        <f t="shared" si="0"/>
        <v/>
      </c>
      <c r="O36" s="30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45"/>
      <c r="AH36" s="46"/>
    </row>
    <row r="37" spans="2:34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30" t="str">
        <f t="shared" ref="N37:N68" si="1">IF(J37="未婚","无","")</f>
        <v/>
      </c>
      <c r="O37" s="30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45"/>
      <c r="AH37" s="46"/>
    </row>
    <row r="38" spans="2:34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30" t="str">
        <f t="shared" si="1"/>
        <v/>
      </c>
      <c r="O38" s="30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45"/>
      <c r="AH38" s="46"/>
    </row>
    <row r="39" spans="2:34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30" t="str">
        <f t="shared" si="1"/>
        <v/>
      </c>
      <c r="O39" s="30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45"/>
      <c r="AH39" s="46"/>
    </row>
    <row r="40" spans="2:34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30" t="str">
        <f t="shared" si="1"/>
        <v/>
      </c>
      <c r="O40" s="30"/>
      <c r="P40" s="24"/>
      <c r="Q40" s="24"/>
      <c r="R40" s="34"/>
      <c r="S40" s="30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45"/>
      <c r="AH40" s="46"/>
    </row>
    <row r="41" spans="2:34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30" t="str">
        <f t="shared" si="1"/>
        <v/>
      </c>
      <c r="O41" s="30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45"/>
      <c r="AH41" s="46"/>
    </row>
    <row r="42" spans="2:34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30" t="str">
        <f t="shared" si="1"/>
        <v/>
      </c>
      <c r="O42" s="30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45"/>
      <c r="AH42" s="46"/>
    </row>
    <row r="43" spans="2:34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30" t="str">
        <f t="shared" si="1"/>
        <v/>
      </c>
      <c r="O43" s="30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45"/>
      <c r="AH43" s="46"/>
    </row>
    <row r="44" spans="2:34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30" t="str">
        <f t="shared" si="1"/>
        <v/>
      </c>
      <c r="O44" s="30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45"/>
      <c r="AH44" s="46"/>
    </row>
    <row r="45" spans="2:34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30" t="str">
        <f t="shared" si="1"/>
        <v/>
      </c>
      <c r="O45" s="30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45"/>
      <c r="AH45" s="46"/>
    </row>
    <row r="46" spans="2:34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30" t="str">
        <f t="shared" si="1"/>
        <v/>
      </c>
      <c r="O46" s="30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45"/>
      <c r="AH46" s="46"/>
    </row>
    <row r="47" spans="2:34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30" t="str">
        <f t="shared" si="1"/>
        <v/>
      </c>
      <c r="O47" s="30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45"/>
      <c r="AH47" s="46"/>
    </row>
    <row r="48" spans="2:34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30" t="str">
        <f t="shared" si="1"/>
        <v/>
      </c>
      <c r="O48" s="30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45"/>
      <c r="AH48" s="46"/>
    </row>
    <row r="49" spans="2:34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30" t="str">
        <f t="shared" si="1"/>
        <v/>
      </c>
      <c r="O49" s="30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45"/>
      <c r="AH49" s="46"/>
    </row>
    <row r="50" spans="2:34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30" t="str">
        <f t="shared" si="1"/>
        <v/>
      </c>
      <c r="O50" s="30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45"/>
      <c r="AH50" s="46"/>
    </row>
    <row r="51" spans="2:34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30" t="str">
        <f t="shared" si="1"/>
        <v/>
      </c>
      <c r="O51" s="30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45"/>
      <c r="AH51" s="46"/>
    </row>
    <row r="52" spans="2:34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30" t="str">
        <f t="shared" si="1"/>
        <v/>
      </c>
      <c r="O52" s="30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45"/>
      <c r="AH52" s="46"/>
    </row>
    <row r="53" spans="2:34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30" t="str">
        <f t="shared" si="1"/>
        <v/>
      </c>
      <c r="O53" s="30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45"/>
      <c r="AH53" s="46"/>
    </row>
    <row r="54" spans="2:34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30" t="str">
        <f t="shared" si="1"/>
        <v/>
      </c>
      <c r="O54" s="30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45"/>
      <c r="AH54" s="46"/>
    </row>
    <row r="55" spans="2:34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30" t="str">
        <f t="shared" si="1"/>
        <v/>
      </c>
      <c r="O55" s="30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45"/>
      <c r="AH55" s="46"/>
    </row>
    <row r="56" spans="2:34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30" t="str">
        <f t="shared" si="1"/>
        <v/>
      </c>
      <c r="O56" s="30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45"/>
      <c r="AH56" s="46"/>
    </row>
    <row r="57" spans="2:34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30" t="str">
        <f t="shared" si="1"/>
        <v/>
      </c>
      <c r="O57" s="30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45"/>
      <c r="AH57" s="46"/>
    </row>
    <row r="58" spans="2:34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30" t="str">
        <f t="shared" si="1"/>
        <v/>
      </c>
      <c r="O58" s="30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45"/>
      <c r="AH58" s="46"/>
    </row>
    <row r="59" spans="2:34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30" t="str">
        <f t="shared" si="1"/>
        <v/>
      </c>
      <c r="O59" s="30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45"/>
      <c r="AH59" s="46"/>
    </row>
    <row r="60" spans="2:34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30" t="str">
        <f t="shared" si="1"/>
        <v/>
      </c>
      <c r="O60" s="30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45"/>
      <c r="AH60" s="46"/>
    </row>
    <row r="61" spans="2:34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30" t="str">
        <f t="shared" si="1"/>
        <v/>
      </c>
      <c r="O61" s="30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45"/>
      <c r="AH61" s="46"/>
    </row>
    <row r="62" spans="2:34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30" t="str">
        <f t="shared" si="1"/>
        <v/>
      </c>
      <c r="O62" s="30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45"/>
      <c r="AH62" s="46"/>
    </row>
    <row r="63" spans="2:34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30" t="str">
        <f t="shared" si="1"/>
        <v/>
      </c>
      <c r="O63" s="30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45"/>
      <c r="AH63" s="46"/>
    </row>
    <row r="64" spans="2:34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30" t="str">
        <f t="shared" si="1"/>
        <v/>
      </c>
      <c r="O64" s="30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45"/>
      <c r="AH64" s="46"/>
    </row>
    <row r="65" spans="2:34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30" t="str">
        <f t="shared" si="1"/>
        <v/>
      </c>
      <c r="O65" s="30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45"/>
      <c r="AH65" s="46"/>
    </row>
    <row r="66" spans="2:34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30" t="str">
        <f t="shared" si="1"/>
        <v/>
      </c>
      <c r="O66" s="30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45"/>
      <c r="AH66" s="46"/>
    </row>
    <row r="67" spans="2:34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30" t="str">
        <f t="shared" si="1"/>
        <v/>
      </c>
      <c r="O67" s="30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45"/>
      <c r="AH67" s="46"/>
    </row>
    <row r="68" spans="2:34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30" t="str">
        <f t="shared" si="1"/>
        <v/>
      </c>
      <c r="O68" s="30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45"/>
      <c r="AH68" s="46"/>
    </row>
    <row r="69" spans="2:34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30" t="str">
        <f t="shared" ref="N69:N100" si="2">IF(J69="未婚","无","")</f>
        <v/>
      </c>
      <c r="O69" s="30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45"/>
      <c r="AH69" s="46"/>
    </row>
    <row r="70" spans="2:34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30" t="str">
        <f t="shared" si="2"/>
        <v/>
      </c>
      <c r="O70" s="30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45"/>
      <c r="AH70" s="46"/>
    </row>
    <row r="71" spans="2:34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30" t="str">
        <f t="shared" si="2"/>
        <v/>
      </c>
      <c r="O71" s="30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45"/>
      <c r="AH71" s="46"/>
    </row>
    <row r="72" spans="2:34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30" t="str">
        <f t="shared" si="2"/>
        <v/>
      </c>
      <c r="O72" s="30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45"/>
      <c r="AH72" s="46"/>
    </row>
    <row r="73" spans="2:34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30" t="str">
        <f t="shared" si="2"/>
        <v/>
      </c>
      <c r="O73" s="30"/>
      <c r="P73" s="24"/>
      <c r="Q73" s="24"/>
      <c r="R73" s="34"/>
      <c r="S73" s="30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45"/>
      <c r="AH73" s="46"/>
    </row>
    <row r="74" spans="2:34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30" t="str">
        <f t="shared" si="2"/>
        <v/>
      </c>
      <c r="O74" s="30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45"/>
      <c r="AH74" s="46"/>
    </row>
    <row r="75" spans="2:34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30" t="str">
        <f t="shared" si="2"/>
        <v/>
      </c>
      <c r="O75" s="30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45"/>
      <c r="AH75" s="46"/>
    </row>
    <row r="76" spans="2:34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30" t="str">
        <f t="shared" si="2"/>
        <v/>
      </c>
      <c r="O76" s="30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45"/>
      <c r="AH76" s="46"/>
    </row>
    <row r="77" spans="2:34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30" t="str">
        <f t="shared" si="2"/>
        <v/>
      </c>
      <c r="O77" s="30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45"/>
      <c r="AH77" s="46"/>
    </row>
    <row r="78" spans="2:34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30" t="str">
        <f t="shared" si="2"/>
        <v/>
      </c>
      <c r="O78" s="30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45"/>
      <c r="AH78" s="46"/>
    </row>
    <row r="79" spans="2:34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30" t="str">
        <f t="shared" si="2"/>
        <v/>
      </c>
      <c r="O79" s="30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45"/>
      <c r="AH79" s="46"/>
    </row>
    <row r="80" spans="2:34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30" t="str">
        <f t="shared" si="2"/>
        <v/>
      </c>
      <c r="O80" s="30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45"/>
      <c r="AH80" s="46"/>
    </row>
    <row r="81" spans="2:34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30" t="str">
        <f t="shared" si="2"/>
        <v/>
      </c>
      <c r="O81" s="30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45"/>
      <c r="AH81" s="46"/>
    </row>
    <row r="82" spans="2:34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30" t="str">
        <f t="shared" si="2"/>
        <v/>
      </c>
      <c r="O82" s="30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45"/>
      <c r="AH82" s="46"/>
    </row>
    <row r="83" spans="2:34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30" t="str">
        <f t="shared" si="2"/>
        <v/>
      </c>
      <c r="O83" s="30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45"/>
      <c r="AH83" s="46"/>
    </row>
    <row r="84" spans="2:34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30" t="str">
        <f t="shared" si="2"/>
        <v/>
      </c>
      <c r="O84" s="30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45"/>
      <c r="AH84" s="46"/>
    </row>
    <row r="85" spans="2:34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30" t="str">
        <f t="shared" si="2"/>
        <v/>
      </c>
      <c r="O85" s="30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45"/>
      <c r="AH85" s="46"/>
    </row>
    <row r="86" spans="2:34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30" t="str">
        <f t="shared" si="2"/>
        <v/>
      </c>
      <c r="O86" s="30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45"/>
      <c r="AH86" s="46"/>
    </row>
    <row r="87" spans="2:34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30" t="str">
        <f t="shared" si="2"/>
        <v/>
      </c>
      <c r="O87" s="30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45"/>
      <c r="AH87" s="46"/>
    </row>
    <row r="88" spans="2:34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30" t="str">
        <f t="shared" si="2"/>
        <v/>
      </c>
      <c r="O88" s="30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45"/>
      <c r="AH88" s="46"/>
    </row>
    <row r="89" spans="2:34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30" t="str">
        <f t="shared" si="2"/>
        <v/>
      </c>
      <c r="O89" s="30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45"/>
      <c r="AH89" s="46"/>
    </row>
    <row r="90" spans="2:34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30" t="str">
        <f t="shared" si="2"/>
        <v/>
      </c>
      <c r="O90" s="30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45"/>
      <c r="AH90" s="46"/>
    </row>
    <row r="91" spans="2:34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30" t="str">
        <f t="shared" si="2"/>
        <v/>
      </c>
      <c r="O91" s="30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45"/>
      <c r="AH91" s="46"/>
    </row>
    <row r="92" spans="2:34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30" t="str">
        <f t="shared" si="2"/>
        <v/>
      </c>
      <c r="O92" s="30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45"/>
      <c r="AH92" s="46"/>
    </row>
    <row r="93" spans="2:34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30" t="str">
        <f t="shared" si="2"/>
        <v/>
      </c>
      <c r="O93" s="30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45"/>
      <c r="AH93" s="46"/>
    </row>
    <row r="94" spans="2:34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30" t="str">
        <f t="shared" si="2"/>
        <v/>
      </c>
      <c r="O94" s="30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45"/>
      <c r="AH94" s="46"/>
    </row>
    <row r="95" spans="2:34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30" t="str">
        <f t="shared" si="2"/>
        <v/>
      </c>
      <c r="O95" s="30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45"/>
      <c r="AH95" s="46"/>
    </row>
    <row r="96" spans="2:34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30" t="str">
        <f t="shared" si="2"/>
        <v/>
      </c>
      <c r="O96" s="30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45"/>
      <c r="AH96" s="46"/>
    </row>
    <row r="97" spans="2:34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30" t="str">
        <f t="shared" si="2"/>
        <v/>
      </c>
      <c r="O97" s="30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45"/>
      <c r="AH97" s="46"/>
    </row>
    <row r="98" spans="2:34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30" t="str">
        <f t="shared" si="2"/>
        <v/>
      </c>
      <c r="O98" s="30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45"/>
      <c r="AH98" s="46"/>
    </row>
    <row r="99" spans="2:34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30" t="str">
        <f t="shared" si="2"/>
        <v/>
      </c>
      <c r="O99" s="30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45"/>
      <c r="AH99" s="46"/>
    </row>
    <row r="100" spans="2:34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30" t="str">
        <f t="shared" si="2"/>
        <v/>
      </c>
      <c r="O100" s="30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45"/>
      <c r="AH100" s="46"/>
    </row>
    <row r="101" spans="2:34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30" t="str">
        <f t="shared" ref="N101:N132" si="3">IF(J101="未婚","无","")</f>
        <v/>
      </c>
      <c r="O101" s="30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45"/>
      <c r="AH101" s="46"/>
    </row>
    <row r="102" spans="2:34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30" t="str">
        <f t="shared" si="3"/>
        <v/>
      </c>
      <c r="O102" s="30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45"/>
      <c r="AH102" s="46"/>
    </row>
    <row r="103" spans="2:34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30" t="str">
        <f t="shared" si="3"/>
        <v/>
      </c>
      <c r="O103" s="30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45"/>
      <c r="AH103" s="46"/>
    </row>
    <row r="104" spans="2:34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30" t="str">
        <f t="shared" si="3"/>
        <v/>
      </c>
      <c r="O104" s="30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45"/>
      <c r="AH104" s="46"/>
    </row>
    <row r="105" spans="2:34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30" t="str">
        <f t="shared" si="3"/>
        <v/>
      </c>
      <c r="O105" s="30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45"/>
      <c r="AH105" s="46"/>
    </row>
    <row r="106" spans="2:34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30" t="str">
        <f t="shared" si="3"/>
        <v/>
      </c>
      <c r="O106" s="30"/>
      <c r="P106" s="24"/>
      <c r="Q106" s="24"/>
      <c r="R106" s="34"/>
      <c r="S106" s="30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45"/>
      <c r="AH106" s="46"/>
    </row>
    <row r="107" spans="2:34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30" t="str">
        <f t="shared" si="3"/>
        <v/>
      </c>
      <c r="O107" s="30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45"/>
      <c r="AH107" s="46"/>
    </row>
    <row r="108" spans="2:34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30" t="str">
        <f t="shared" si="3"/>
        <v/>
      </c>
      <c r="O108" s="30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45"/>
      <c r="AH108" s="46"/>
    </row>
    <row r="109" spans="2:34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30" t="str">
        <f t="shared" si="3"/>
        <v/>
      </c>
      <c r="O109" s="30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45"/>
      <c r="AH109" s="46"/>
    </row>
    <row r="110" spans="2:34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30" t="str">
        <f t="shared" si="3"/>
        <v/>
      </c>
      <c r="O110" s="30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45"/>
      <c r="AH110" s="46"/>
    </row>
    <row r="111" spans="2:34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30" t="str">
        <f t="shared" si="3"/>
        <v/>
      </c>
      <c r="O111" s="30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45"/>
      <c r="AH111" s="46"/>
    </row>
    <row r="112" spans="2:34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30" t="str">
        <f t="shared" si="3"/>
        <v/>
      </c>
      <c r="O112" s="30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45"/>
      <c r="AH112" s="46"/>
    </row>
    <row r="113" spans="2:34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30" t="str">
        <f t="shared" si="3"/>
        <v/>
      </c>
      <c r="O113" s="30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45"/>
      <c r="AH113" s="46"/>
    </row>
    <row r="114" spans="2:34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30" t="str">
        <f t="shared" si="3"/>
        <v/>
      </c>
      <c r="O114" s="30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45"/>
      <c r="AH114" s="46"/>
    </row>
    <row r="115" spans="2:34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30" t="str">
        <f t="shared" si="3"/>
        <v/>
      </c>
      <c r="O115" s="30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45"/>
      <c r="AH115" s="46"/>
    </row>
    <row r="116" spans="2:34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30" t="str">
        <f t="shared" si="3"/>
        <v/>
      </c>
      <c r="O116" s="30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45"/>
      <c r="AH116" s="46"/>
    </row>
    <row r="117" spans="2:34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30" t="str">
        <f t="shared" si="3"/>
        <v/>
      </c>
      <c r="O117" s="30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45"/>
      <c r="AH117" s="46"/>
    </row>
    <row r="118" spans="2:34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30" t="str">
        <f t="shared" si="3"/>
        <v/>
      </c>
      <c r="O118" s="30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45"/>
      <c r="AH118" s="46"/>
    </row>
    <row r="119" spans="2:34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30" t="str">
        <f t="shared" si="3"/>
        <v/>
      </c>
      <c r="O119" s="30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45"/>
      <c r="AH119" s="46"/>
    </row>
    <row r="120" spans="2:34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30" t="str">
        <f t="shared" si="3"/>
        <v/>
      </c>
      <c r="O120" s="30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45"/>
      <c r="AH120" s="46"/>
    </row>
    <row r="121" spans="2:34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30" t="str">
        <f t="shared" si="3"/>
        <v/>
      </c>
      <c r="O121" s="30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45"/>
      <c r="AH121" s="46"/>
    </row>
    <row r="122" spans="2:34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30" t="str">
        <f t="shared" si="3"/>
        <v/>
      </c>
      <c r="O122" s="30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45"/>
      <c r="AH122" s="46"/>
    </row>
    <row r="123" spans="2:34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30" t="str">
        <f t="shared" si="3"/>
        <v/>
      </c>
      <c r="O123" s="30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45"/>
      <c r="AH123" s="46"/>
    </row>
    <row r="124" spans="2:34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30" t="str">
        <f t="shared" si="3"/>
        <v/>
      </c>
      <c r="O124" s="30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45"/>
      <c r="AH124" s="46"/>
    </row>
    <row r="125" spans="2:34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30" t="str">
        <f t="shared" si="3"/>
        <v/>
      </c>
      <c r="O125" s="30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45"/>
      <c r="AH125" s="46"/>
    </row>
    <row r="126" spans="2:34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30" t="str">
        <f t="shared" si="3"/>
        <v/>
      </c>
      <c r="O126" s="30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45"/>
      <c r="AH126" s="46"/>
    </row>
    <row r="127" spans="2:34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30" t="str">
        <f t="shared" si="3"/>
        <v/>
      </c>
      <c r="O127" s="30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45"/>
      <c r="AH127" s="46"/>
    </row>
    <row r="128" spans="2:34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30" t="str">
        <f t="shared" si="3"/>
        <v/>
      </c>
      <c r="O128" s="30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45"/>
      <c r="AH128" s="46"/>
    </row>
    <row r="129" spans="2:34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30" t="str">
        <f t="shared" si="3"/>
        <v/>
      </c>
      <c r="O129" s="30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45"/>
      <c r="AH129" s="46"/>
    </row>
    <row r="130" spans="2:34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30" t="str">
        <f t="shared" si="3"/>
        <v/>
      </c>
      <c r="O130" s="30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45"/>
      <c r="AH130" s="46"/>
    </row>
    <row r="131" spans="2:34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30" t="str">
        <f t="shared" si="3"/>
        <v/>
      </c>
      <c r="O131" s="30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45"/>
      <c r="AH131" s="46"/>
    </row>
    <row r="132" spans="2:34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30" t="str">
        <f t="shared" si="3"/>
        <v/>
      </c>
      <c r="O132" s="30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45"/>
      <c r="AH132" s="46"/>
    </row>
    <row r="133" spans="2:34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30" t="str">
        <f t="shared" ref="N133:N169" si="4">IF(J133="未婚","无","")</f>
        <v/>
      </c>
      <c r="O133" s="30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45"/>
      <c r="AH133" s="46"/>
    </row>
    <row r="134" spans="2:34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30" t="str">
        <f t="shared" si="4"/>
        <v/>
      </c>
      <c r="O134" s="30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45"/>
      <c r="AH134" s="46"/>
    </row>
    <row r="135" spans="2:34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30" t="str">
        <f t="shared" si="4"/>
        <v/>
      </c>
      <c r="O135" s="30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45"/>
      <c r="AH135" s="46"/>
    </row>
    <row r="136" spans="2:34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30" t="str">
        <f t="shared" si="4"/>
        <v/>
      </c>
      <c r="O136" s="30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45"/>
      <c r="AH136" s="46"/>
    </row>
    <row r="137" spans="2:34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30" t="str">
        <f t="shared" si="4"/>
        <v/>
      </c>
      <c r="O137" s="30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45"/>
      <c r="AH137" s="46"/>
    </row>
    <row r="138" spans="2:34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30" t="str">
        <f t="shared" si="4"/>
        <v/>
      </c>
      <c r="O138" s="30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45"/>
      <c r="AH138" s="46"/>
    </row>
    <row r="139" spans="2:34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30" t="str">
        <f t="shared" si="4"/>
        <v/>
      </c>
      <c r="O139" s="30"/>
      <c r="P139" s="24"/>
      <c r="Q139" s="24"/>
      <c r="R139" s="34"/>
      <c r="S139" s="30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45"/>
      <c r="AH139" s="46"/>
    </row>
    <row r="140" spans="2:34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30" t="str">
        <f t="shared" si="4"/>
        <v/>
      </c>
      <c r="O140" s="30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45"/>
      <c r="AH140" s="46"/>
    </row>
    <row r="141" spans="2:34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30" t="str">
        <f t="shared" si="4"/>
        <v/>
      </c>
      <c r="O141" s="30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45"/>
      <c r="AH141" s="46"/>
    </row>
    <row r="142" spans="2:34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30" t="str">
        <f t="shared" si="4"/>
        <v/>
      </c>
      <c r="O142" s="30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45"/>
      <c r="AH142" s="46"/>
    </row>
    <row r="143" spans="2:34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30" t="str">
        <f t="shared" si="4"/>
        <v/>
      </c>
      <c r="O143" s="30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45"/>
      <c r="AH143" s="46"/>
    </row>
    <row r="144" spans="2:34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30" t="str">
        <f t="shared" si="4"/>
        <v/>
      </c>
      <c r="O144" s="30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45"/>
      <c r="AH144" s="46"/>
    </row>
    <row r="145" spans="2:34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30" t="str">
        <f t="shared" si="4"/>
        <v/>
      </c>
      <c r="O145" s="30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45"/>
      <c r="AH145" s="46"/>
    </row>
    <row r="146" spans="2:34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30" t="str">
        <f t="shared" si="4"/>
        <v/>
      </c>
      <c r="O146" s="30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45"/>
      <c r="AH146" s="46"/>
    </row>
    <row r="147" spans="2:34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30" t="str">
        <f t="shared" si="4"/>
        <v/>
      </c>
      <c r="O147" s="30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45"/>
      <c r="AH147" s="46"/>
    </row>
    <row r="148" spans="2:34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30" t="str">
        <f t="shared" si="4"/>
        <v/>
      </c>
      <c r="O148" s="30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45"/>
      <c r="AH148" s="46"/>
    </row>
    <row r="149" spans="2:34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30" t="str">
        <f t="shared" si="4"/>
        <v/>
      </c>
      <c r="O149" s="30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45"/>
      <c r="AH149" s="46"/>
    </row>
    <row r="150" spans="2:34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30" t="str">
        <f t="shared" si="4"/>
        <v/>
      </c>
      <c r="O150" s="30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45"/>
      <c r="AH150" s="46"/>
    </row>
    <row r="151" spans="2:34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30" t="str">
        <f t="shared" si="4"/>
        <v/>
      </c>
      <c r="O151" s="30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45"/>
      <c r="AH151" s="46"/>
    </row>
    <row r="152" spans="2:34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30" t="str">
        <f t="shared" si="4"/>
        <v/>
      </c>
      <c r="O152" s="30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45"/>
      <c r="AH152" s="46"/>
    </row>
    <row r="153" spans="2:34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30" t="str">
        <f t="shared" si="4"/>
        <v/>
      </c>
      <c r="O153" s="30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45"/>
      <c r="AH153" s="46"/>
    </row>
    <row r="154" spans="2:34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30" t="str">
        <f t="shared" si="4"/>
        <v/>
      </c>
      <c r="O154" s="30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45"/>
      <c r="AH154" s="46"/>
    </row>
    <row r="155" spans="2:34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30" t="str">
        <f t="shared" si="4"/>
        <v/>
      </c>
      <c r="O155" s="30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45"/>
      <c r="AH155" s="46"/>
    </row>
    <row r="156" spans="2:34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30" t="str">
        <f t="shared" si="4"/>
        <v/>
      </c>
      <c r="O156" s="30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45"/>
      <c r="AH156" s="46"/>
    </row>
    <row r="157" spans="2:34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30" t="str">
        <f t="shared" si="4"/>
        <v/>
      </c>
      <c r="O157" s="30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45"/>
      <c r="AH157" s="46"/>
    </row>
    <row r="158" spans="2:34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30" t="str">
        <f t="shared" si="4"/>
        <v/>
      </c>
      <c r="O158" s="30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45"/>
      <c r="AH158" s="46"/>
    </row>
    <row r="159" spans="2:34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30" t="str">
        <f t="shared" si="4"/>
        <v/>
      </c>
      <c r="O159" s="30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45"/>
      <c r="AH159" s="46"/>
    </row>
    <row r="160" spans="2:34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30" t="str">
        <f t="shared" si="4"/>
        <v/>
      </c>
      <c r="O160" s="30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45"/>
      <c r="AH160" s="46"/>
    </row>
    <row r="161" spans="2:34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30" t="str">
        <f t="shared" si="4"/>
        <v/>
      </c>
      <c r="O161" s="30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45"/>
      <c r="AH161" s="46"/>
    </row>
    <row r="162" spans="2:34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30" t="str">
        <f t="shared" si="4"/>
        <v/>
      </c>
      <c r="O162" s="30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45"/>
      <c r="AH162" s="46"/>
    </row>
    <row r="163" spans="2:34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30" t="str">
        <f t="shared" si="4"/>
        <v/>
      </c>
      <c r="O163" s="30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45"/>
      <c r="AH163" s="46"/>
    </row>
    <row r="164" spans="2:34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30" t="str">
        <f t="shared" si="4"/>
        <v/>
      </c>
      <c r="O164" s="30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45"/>
      <c r="AH164" s="46"/>
    </row>
    <row r="165" spans="2:34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30" t="str">
        <f t="shared" si="4"/>
        <v/>
      </c>
      <c r="O165" s="30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45"/>
      <c r="AH165" s="46"/>
    </row>
    <row r="166" spans="2:34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0" t="str">
        <f t="shared" si="4"/>
        <v/>
      </c>
      <c r="O166" s="30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45"/>
      <c r="AH166" s="46"/>
    </row>
    <row r="167" spans="2:34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30" t="str">
        <f t="shared" si="4"/>
        <v/>
      </c>
      <c r="O167" s="30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45"/>
      <c r="AH167" s="46"/>
    </row>
    <row r="168" spans="2:34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30" t="str">
        <f t="shared" si="4"/>
        <v/>
      </c>
      <c r="O168" s="30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45"/>
      <c r="AH168" s="46"/>
    </row>
    <row r="169" spans="2:34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30" t="str">
        <f t="shared" si="4"/>
        <v/>
      </c>
      <c r="O169" s="30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45"/>
      <c r="AH169" s="46"/>
    </row>
  </sheetData>
  <mergeCells count="5">
    <mergeCell ref="B1:AH1"/>
    <mergeCell ref="B2:T2"/>
    <mergeCell ref="U2:Y2"/>
    <mergeCell ref="Z2:AF2"/>
    <mergeCell ref="AG2:AH2"/>
  </mergeCells>
  <dataValidations count="8">
    <dataValidation type="list" allowBlank="1" showInputMessage="1" showErrorMessage="1" sqref="AD7 AD4:AD6 AD9:AD1048576">
      <formula1>OFFSET(在京通行方式赋分统计表!$A$1,1,0,COUNTA(在京通行方式赋分统计表!$A:$A)-1,1)</formula1>
    </dataValidation>
    <dataValidation type="list" allowBlank="1" showInputMessage="1" showErrorMessage="1" sqref="AE7 AE4:AE5 AE9:AE1048576">
      <formula1>OFFSET(在京通行方式赋分统计表!$E$1,1,0,COUNTA(在京通行方式赋分统计表!$E:$E)-1,1)</formula1>
    </dataValidation>
    <dataValidation type="textLength" operator="equal" allowBlank="1" showInputMessage="1" showErrorMessage="1" sqref="C4:C1048576">
      <formula1>18</formula1>
    </dataValidation>
    <dataValidation type="list" allowBlank="1" showInputMessage="1" showErrorMessage="1" sqref="D4:D1048576">
      <formula1>"男,女"</formula1>
    </dataValidation>
    <dataValidation type="list" allowBlank="1" showInputMessage="1" showErrorMessage="1" sqref="F4:F1048576">
      <formula1>"文盲,小学,初中,高中,本科,硕士研究生,博士研究生"</formula1>
    </dataValidation>
    <dataValidation type="list" allowBlank="1" showInputMessage="1" showErrorMessage="1" sqref="J4:J1048576">
      <formula1>"未婚,已婚,离异,丧偶"</formula1>
    </dataValidation>
    <dataValidation type="list" allowBlank="1" showInputMessage="1" showErrorMessage="1" sqref="P4:P1048576 AA4:AA1048576">
      <formula1>"是,否"</formula1>
    </dataValidation>
    <dataValidation type="list" allowBlank="1" showInputMessage="1" showErrorMessage="1" sqref="Q4:Q1048576 R4:R1048576">
      <formula1>OFFSET(具体反侦察手段统计表!$C$1,1,0,COUNTA(具体反侦察手段统计表!$C:$C)-1,1)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zoomScale="85" zoomScaleNormal="85" workbookViewId="0">
      <selection activeCell="C43" sqref="C43"/>
    </sheetView>
  </sheetViews>
  <sheetFormatPr defaultColWidth="9" defaultRowHeight="14"/>
  <cols>
    <col min="1" max="1" width="14" style="7" customWidth="1"/>
    <col min="2" max="2" width="11.7272727272727" style="10" customWidth="1"/>
    <col min="3" max="3" width="33.0545454545455" style="7" customWidth="1"/>
    <col min="4" max="4" width="9.90909090909091" style="9" customWidth="1"/>
    <col min="5" max="5" width="65.2454545454545" style="7" customWidth="1"/>
  </cols>
  <sheetData>
    <row r="1" ht="15" spans="1:10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2"/>
      <c r="G1" s="13"/>
      <c r="H1" s="13"/>
      <c r="I1" s="13"/>
      <c r="J1" s="13"/>
    </row>
    <row r="2" ht="15.5" spans="1:10">
      <c r="A2" s="3" t="s">
        <v>54</v>
      </c>
      <c r="B2" s="3" t="s">
        <v>55</v>
      </c>
      <c r="C2" s="3" t="s">
        <v>56</v>
      </c>
      <c r="D2" s="14">
        <v>3</v>
      </c>
      <c r="E2" s="3" t="s">
        <v>57</v>
      </c>
      <c r="F2" s="15"/>
      <c r="G2" s="13"/>
      <c r="H2" s="13"/>
      <c r="I2" s="13"/>
      <c r="J2" s="13"/>
    </row>
    <row r="3" ht="30.5" spans="1:10">
      <c r="A3" s="3" t="s">
        <v>54</v>
      </c>
      <c r="B3" s="3" t="s">
        <v>55</v>
      </c>
      <c r="C3" s="3" t="s">
        <v>45</v>
      </c>
      <c r="D3" s="14">
        <v>4</v>
      </c>
      <c r="E3" s="3" t="s">
        <v>58</v>
      </c>
      <c r="F3" s="13"/>
      <c r="G3" s="13"/>
      <c r="H3" s="13"/>
      <c r="I3" s="13"/>
      <c r="J3" s="13"/>
    </row>
    <row r="4" ht="30" spans="1:10">
      <c r="A4" s="3" t="s">
        <v>54</v>
      </c>
      <c r="B4" s="3" t="s">
        <v>59</v>
      </c>
      <c r="C4" s="3" t="s">
        <v>60</v>
      </c>
      <c r="D4" s="14">
        <v>4</v>
      </c>
      <c r="E4" s="3" t="s">
        <v>61</v>
      </c>
      <c r="F4" s="13"/>
      <c r="G4" s="13"/>
      <c r="H4" s="13"/>
      <c r="I4" s="13"/>
      <c r="J4" s="13"/>
    </row>
    <row r="5" ht="15.5" spans="1:5">
      <c r="A5" s="3" t="s">
        <v>54</v>
      </c>
      <c r="B5" s="3" t="s">
        <v>59</v>
      </c>
      <c r="C5" s="3" t="s">
        <v>62</v>
      </c>
      <c r="D5" s="14">
        <v>5</v>
      </c>
      <c r="E5" s="3" t="s">
        <v>63</v>
      </c>
    </row>
    <row r="6" ht="30" spans="1:5">
      <c r="A6" s="3" t="s">
        <v>54</v>
      </c>
      <c r="B6" s="3" t="s">
        <v>59</v>
      </c>
      <c r="C6" s="3" t="s">
        <v>64</v>
      </c>
      <c r="D6" s="14">
        <v>3</v>
      </c>
      <c r="E6" s="3" t="s">
        <v>65</v>
      </c>
    </row>
    <row r="7" ht="30.5" spans="1:5">
      <c r="A7" s="3" t="s">
        <v>54</v>
      </c>
      <c r="B7" s="3" t="s">
        <v>66</v>
      </c>
      <c r="C7" s="3" t="s">
        <v>67</v>
      </c>
      <c r="D7" s="14">
        <v>3</v>
      </c>
      <c r="E7" s="3" t="s">
        <v>68</v>
      </c>
    </row>
    <row r="8" ht="15.5" spans="1:5">
      <c r="A8" s="3" t="s">
        <v>54</v>
      </c>
      <c r="B8" s="3" t="s">
        <v>66</v>
      </c>
      <c r="C8" s="3" t="s">
        <v>69</v>
      </c>
      <c r="D8" s="14">
        <v>4</v>
      </c>
      <c r="E8" s="3" t="s">
        <v>70</v>
      </c>
    </row>
    <row r="9" ht="30.5" spans="1:5">
      <c r="A9" s="3" t="s">
        <v>54</v>
      </c>
      <c r="B9" s="3" t="s">
        <v>71</v>
      </c>
      <c r="C9" s="3" t="s">
        <v>72</v>
      </c>
      <c r="D9" s="14">
        <v>2</v>
      </c>
      <c r="E9" s="3" t="s">
        <v>73</v>
      </c>
    </row>
    <row r="10" ht="30" spans="1:5">
      <c r="A10" s="3" t="s">
        <v>74</v>
      </c>
      <c r="B10" s="3" t="s">
        <v>75</v>
      </c>
      <c r="C10" s="3" t="s">
        <v>76</v>
      </c>
      <c r="D10" s="14">
        <v>4</v>
      </c>
      <c r="E10" s="3" t="s">
        <v>77</v>
      </c>
    </row>
    <row r="11" ht="30" spans="1:5">
      <c r="A11" s="3" t="s">
        <v>74</v>
      </c>
      <c r="B11" s="3" t="s">
        <v>75</v>
      </c>
      <c r="C11" s="3" t="s">
        <v>78</v>
      </c>
      <c r="D11" s="14">
        <v>4</v>
      </c>
      <c r="E11" s="3" t="s">
        <v>79</v>
      </c>
    </row>
    <row r="12" ht="30" spans="1:5">
      <c r="A12" s="3" t="s">
        <v>74</v>
      </c>
      <c r="B12" s="3" t="s">
        <v>75</v>
      </c>
      <c r="C12" s="3" t="s">
        <v>80</v>
      </c>
      <c r="D12" s="14">
        <v>5</v>
      </c>
      <c r="E12" s="3" t="s">
        <v>81</v>
      </c>
    </row>
    <row r="13" ht="30" spans="1:5">
      <c r="A13" s="3" t="s">
        <v>74</v>
      </c>
      <c r="B13" s="3" t="s">
        <v>82</v>
      </c>
      <c r="C13" s="3" t="s">
        <v>83</v>
      </c>
      <c r="D13" s="14">
        <v>3</v>
      </c>
      <c r="E13" s="3" t="s">
        <v>84</v>
      </c>
    </row>
    <row r="14" ht="30" spans="1:5">
      <c r="A14" s="3" t="s">
        <v>74</v>
      </c>
      <c r="B14" s="3" t="s">
        <v>82</v>
      </c>
      <c r="C14" s="3" t="s">
        <v>85</v>
      </c>
      <c r="D14" s="14">
        <v>4</v>
      </c>
      <c r="E14" s="3" t="s">
        <v>86</v>
      </c>
    </row>
    <row r="15" ht="30" spans="1:5">
      <c r="A15" s="3" t="s">
        <v>74</v>
      </c>
      <c r="B15" s="3" t="s">
        <v>87</v>
      </c>
      <c r="C15" s="3" t="s">
        <v>88</v>
      </c>
      <c r="D15" s="14">
        <v>5</v>
      </c>
      <c r="E15" s="3" t="s">
        <v>89</v>
      </c>
    </row>
    <row r="16" ht="30" spans="1:9">
      <c r="A16" s="3" t="s">
        <v>74</v>
      </c>
      <c r="B16" s="3" t="s">
        <v>87</v>
      </c>
      <c r="C16" s="3" t="s">
        <v>90</v>
      </c>
      <c r="D16" s="14">
        <v>4</v>
      </c>
      <c r="E16" s="3" t="s">
        <v>91</v>
      </c>
      <c r="I16" s="17" cm="1">
        <f ca="1" t="array" ref="I16">OFFSET(Sheet1!$I$16,1,0,COUNTA(Sheet1!$I:$I)-1,1)</f>
        <v>0</v>
      </c>
    </row>
    <row r="17" ht="30" spans="1:5">
      <c r="A17" s="3" t="s">
        <v>74</v>
      </c>
      <c r="B17" s="3" t="s">
        <v>87</v>
      </c>
      <c r="C17" s="16" t="s">
        <v>92</v>
      </c>
      <c r="D17" s="14">
        <v>4</v>
      </c>
      <c r="E17" s="3" t="s">
        <v>93</v>
      </c>
    </row>
    <row r="18" ht="30" spans="1:5">
      <c r="A18" s="3" t="s">
        <v>74</v>
      </c>
      <c r="B18" s="3" t="s">
        <v>94</v>
      </c>
      <c r="C18" s="3" t="s">
        <v>95</v>
      </c>
      <c r="D18" s="14">
        <v>4</v>
      </c>
      <c r="E18" s="3" t="s">
        <v>96</v>
      </c>
    </row>
    <row r="19" ht="30" spans="1:5">
      <c r="A19" s="3" t="s">
        <v>74</v>
      </c>
      <c r="B19" s="3" t="s">
        <v>94</v>
      </c>
      <c r="C19" s="3" t="s">
        <v>97</v>
      </c>
      <c r="D19" s="14">
        <v>3</v>
      </c>
      <c r="E19" s="3" t="s">
        <v>98</v>
      </c>
    </row>
    <row r="20" ht="30.5" spans="1:5">
      <c r="A20" s="3" t="s">
        <v>99</v>
      </c>
      <c r="B20" s="3" t="s">
        <v>100</v>
      </c>
      <c r="C20" s="3" t="s">
        <v>101</v>
      </c>
      <c r="D20" s="14">
        <v>3</v>
      </c>
      <c r="E20" s="3" t="s">
        <v>102</v>
      </c>
    </row>
    <row r="21" ht="30" spans="1:5">
      <c r="A21" s="3" t="s">
        <v>99</v>
      </c>
      <c r="B21" s="3" t="s">
        <v>100</v>
      </c>
      <c r="C21" s="3" t="s">
        <v>103</v>
      </c>
      <c r="D21" s="14">
        <v>3</v>
      </c>
      <c r="E21" s="3" t="s">
        <v>104</v>
      </c>
    </row>
    <row r="22" ht="30" spans="1:5">
      <c r="A22" s="3" t="s">
        <v>99</v>
      </c>
      <c r="B22" s="3" t="s">
        <v>100</v>
      </c>
      <c r="C22" s="3" t="s">
        <v>105</v>
      </c>
      <c r="D22" s="14">
        <v>3</v>
      </c>
      <c r="E22" s="3" t="s">
        <v>106</v>
      </c>
    </row>
    <row r="23" ht="30" spans="1:5">
      <c r="A23" s="3" t="s">
        <v>99</v>
      </c>
      <c r="B23" s="3" t="s">
        <v>107</v>
      </c>
      <c r="C23" s="3" t="s">
        <v>108</v>
      </c>
      <c r="D23" s="14">
        <v>6</v>
      </c>
      <c r="E23" s="3" t="s">
        <v>109</v>
      </c>
    </row>
    <row r="24" ht="15.5" spans="1:5">
      <c r="A24" s="3" t="s">
        <v>99</v>
      </c>
      <c r="B24" s="3" t="s">
        <v>107</v>
      </c>
      <c r="C24" s="3" t="s">
        <v>110</v>
      </c>
      <c r="D24" s="14">
        <v>5</v>
      </c>
      <c r="E24" s="3" t="s">
        <v>111</v>
      </c>
    </row>
    <row r="25" ht="15.5" spans="1:5">
      <c r="A25" s="3" t="s">
        <v>99</v>
      </c>
      <c r="B25" s="3" t="s">
        <v>112</v>
      </c>
      <c r="C25" s="3" t="s">
        <v>113</v>
      </c>
      <c r="D25" s="14">
        <v>4</v>
      </c>
      <c r="E25" s="3" t="s">
        <v>114</v>
      </c>
    </row>
    <row r="26" ht="30" spans="1:5">
      <c r="A26" s="3" t="s">
        <v>99</v>
      </c>
      <c r="B26" s="3" t="s">
        <v>115</v>
      </c>
      <c r="C26" s="3" t="s">
        <v>116</v>
      </c>
      <c r="D26" s="14">
        <v>3</v>
      </c>
      <c r="E26" s="3" t="s">
        <v>117</v>
      </c>
    </row>
    <row r="27" ht="30" spans="1:5">
      <c r="A27" s="3" t="s">
        <v>118</v>
      </c>
      <c r="B27" s="3" t="s">
        <v>119</v>
      </c>
      <c r="C27" s="3" t="s">
        <v>120</v>
      </c>
      <c r="D27" s="14">
        <v>3</v>
      </c>
      <c r="E27" s="3" t="s">
        <v>121</v>
      </c>
    </row>
    <row r="28" ht="30" spans="1:5">
      <c r="A28" s="3" t="s">
        <v>118</v>
      </c>
      <c r="B28" s="3" t="s">
        <v>119</v>
      </c>
      <c r="C28" s="3" t="s">
        <v>122</v>
      </c>
      <c r="D28" s="14">
        <v>3</v>
      </c>
      <c r="E28" s="3" t="s">
        <v>123</v>
      </c>
    </row>
    <row r="29" ht="30" spans="1:5">
      <c r="A29" s="3" t="s">
        <v>118</v>
      </c>
      <c r="B29" s="3" t="s">
        <v>119</v>
      </c>
      <c r="C29" s="3" t="s">
        <v>124</v>
      </c>
      <c r="D29" s="14">
        <v>2</v>
      </c>
      <c r="E29" s="3" t="s">
        <v>125</v>
      </c>
    </row>
    <row r="30" ht="30" spans="1:5">
      <c r="A30" s="3" t="s">
        <v>118</v>
      </c>
      <c r="B30" s="3" t="s">
        <v>119</v>
      </c>
      <c r="C30" s="3" t="s">
        <v>126</v>
      </c>
      <c r="D30" s="14">
        <v>2</v>
      </c>
      <c r="E30" s="3" t="s">
        <v>127</v>
      </c>
    </row>
    <row r="31" ht="15.5" spans="1:5">
      <c r="A31" s="3" t="s">
        <v>118</v>
      </c>
      <c r="B31" s="3" t="s">
        <v>119</v>
      </c>
      <c r="C31" s="3" t="s">
        <v>128</v>
      </c>
      <c r="D31" s="14">
        <v>2</v>
      </c>
      <c r="E31" s="3" t="s">
        <v>129</v>
      </c>
    </row>
    <row r="32" ht="30" spans="1:5">
      <c r="A32" s="3" t="s">
        <v>118</v>
      </c>
      <c r="B32" s="3" t="s">
        <v>130</v>
      </c>
      <c r="C32" s="3" t="s">
        <v>131</v>
      </c>
      <c r="D32" s="14">
        <v>3</v>
      </c>
      <c r="E32" s="3" t="s">
        <v>132</v>
      </c>
    </row>
    <row r="33" ht="30" spans="1:5">
      <c r="A33" s="3" t="s">
        <v>118</v>
      </c>
      <c r="B33" s="3" t="s">
        <v>130</v>
      </c>
      <c r="C33" s="3" t="s">
        <v>133</v>
      </c>
      <c r="D33" s="14">
        <v>3</v>
      </c>
      <c r="E33" s="3" t="s">
        <v>134</v>
      </c>
    </row>
    <row r="34" ht="30" spans="1:5">
      <c r="A34" s="3" t="s">
        <v>118</v>
      </c>
      <c r="B34" s="3" t="s">
        <v>135</v>
      </c>
      <c r="C34" s="3" t="s">
        <v>136</v>
      </c>
      <c r="D34" s="14">
        <v>3</v>
      </c>
      <c r="E34" s="3" t="s">
        <v>137</v>
      </c>
    </row>
    <row r="35" ht="30" spans="1:5">
      <c r="A35" s="3" t="s">
        <v>138</v>
      </c>
      <c r="B35" s="3" t="s">
        <v>139</v>
      </c>
      <c r="C35" s="3" t="s">
        <v>140</v>
      </c>
      <c r="D35" s="14">
        <v>5</v>
      </c>
      <c r="E35" s="3" t="s">
        <v>141</v>
      </c>
    </row>
    <row r="36" ht="30" spans="1:5">
      <c r="A36" s="3" t="s">
        <v>138</v>
      </c>
      <c r="B36" s="3" t="s">
        <v>139</v>
      </c>
      <c r="C36" s="3" t="s">
        <v>142</v>
      </c>
      <c r="D36" s="14">
        <v>6</v>
      </c>
      <c r="E36" s="3" t="s">
        <v>143</v>
      </c>
    </row>
    <row r="37" ht="15.5" spans="1:5">
      <c r="A37" s="3" t="s">
        <v>138</v>
      </c>
      <c r="B37" s="3" t="s">
        <v>139</v>
      </c>
      <c r="C37" s="3" t="s">
        <v>144</v>
      </c>
      <c r="D37" s="14">
        <v>4</v>
      </c>
      <c r="E37" s="3" t="s">
        <v>145</v>
      </c>
    </row>
    <row r="38" ht="30" spans="1:5">
      <c r="A38" s="3" t="s">
        <v>138</v>
      </c>
      <c r="B38" s="3" t="s">
        <v>139</v>
      </c>
      <c r="C38" s="3" t="s">
        <v>146</v>
      </c>
      <c r="D38" s="14">
        <v>4</v>
      </c>
      <c r="E38" s="3" t="s">
        <v>147</v>
      </c>
    </row>
    <row r="39" ht="30" spans="1:5">
      <c r="A39" s="3" t="s">
        <v>138</v>
      </c>
      <c r="B39" s="3" t="s">
        <v>148</v>
      </c>
      <c r="C39" s="3" t="s">
        <v>149</v>
      </c>
      <c r="D39" s="14">
        <v>7</v>
      </c>
      <c r="E39" s="3" t="s">
        <v>150</v>
      </c>
    </row>
    <row r="40" ht="15.5" spans="1:5">
      <c r="A40" s="3" t="s">
        <v>138</v>
      </c>
      <c r="B40" s="3" t="s">
        <v>148</v>
      </c>
      <c r="C40" s="3" t="s">
        <v>151</v>
      </c>
      <c r="D40" s="14">
        <v>6</v>
      </c>
      <c r="E40" s="3" t="s">
        <v>152</v>
      </c>
    </row>
    <row r="41" ht="30" spans="1:5">
      <c r="A41" s="3" t="s">
        <v>138</v>
      </c>
      <c r="B41" s="3" t="s">
        <v>148</v>
      </c>
      <c r="C41" s="3" t="s">
        <v>153</v>
      </c>
      <c r="D41" s="14">
        <v>7</v>
      </c>
      <c r="E41" s="3" t="s">
        <v>154</v>
      </c>
    </row>
    <row r="42" ht="15.5" spans="1:5">
      <c r="A42" s="3" t="s">
        <v>155</v>
      </c>
      <c r="B42" s="3" t="s">
        <v>156</v>
      </c>
      <c r="C42" s="3" t="s">
        <v>157</v>
      </c>
      <c r="D42" s="14">
        <v>4</v>
      </c>
      <c r="E42" s="3" t="s">
        <v>158</v>
      </c>
    </row>
    <row r="43" ht="15.5" spans="1:5">
      <c r="A43" s="3" t="s">
        <v>155</v>
      </c>
      <c r="B43" s="3" t="s">
        <v>156</v>
      </c>
      <c r="C43" s="3" t="s">
        <v>159</v>
      </c>
      <c r="D43" s="14">
        <v>5</v>
      </c>
      <c r="E43" s="3" t="s">
        <v>160</v>
      </c>
    </row>
    <row r="44" ht="15.5" spans="1:5">
      <c r="A44" s="3" t="s">
        <v>155</v>
      </c>
      <c r="B44" s="3" t="s">
        <v>156</v>
      </c>
      <c r="C44" s="3" t="s">
        <v>161</v>
      </c>
      <c r="D44" s="14">
        <v>4</v>
      </c>
      <c r="E44" s="3" t="s">
        <v>162</v>
      </c>
    </row>
    <row r="45" ht="15.5" spans="1:5">
      <c r="A45" s="3" t="s">
        <v>155</v>
      </c>
      <c r="B45" s="3" t="s">
        <v>163</v>
      </c>
      <c r="C45" s="3" t="s">
        <v>164</v>
      </c>
      <c r="D45" s="14">
        <v>5</v>
      </c>
      <c r="E45" s="3" t="s">
        <v>165</v>
      </c>
    </row>
    <row r="46" ht="15.5" spans="1:5">
      <c r="A46" s="3" t="s">
        <v>155</v>
      </c>
      <c r="B46" s="3" t="s">
        <v>163</v>
      </c>
      <c r="C46" s="3" t="s">
        <v>166</v>
      </c>
      <c r="D46" s="14">
        <v>4</v>
      </c>
      <c r="E46" s="16" t="s">
        <v>167</v>
      </c>
    </row>
    <row r="48" spans="1:2">
      <c r="A48" s="9"/>
      <c r="B48" s="9"/>
    </row>
    <row r="49" spans="1:3">
      <c r="A49" s="9"/>
      <c r="B49" s="9"/>
      <c r="C49" s="9"/>
    </row>
    <row r="50" spans="1:3">
      <c r="A50" s="9"/>
      <c r="B50" s="9"/>
      <c r="C50" s="9"/>
    </row>
    <row r="51" spans="1:3">
      <c r="A51" s="9"/>
      <c r="B51" s="9"/>
      <c r="C51" s="9"/>
    </row>
    <row r="52" spans="1:3">
      <c r="A52" s="9"/>
      <c r="B52" s="9"/>
      <c r="C52" s="9"/>
    </row>
    <row r="53" spans="1:3">
      <c r="A53" s="9"/>
      <c r="B53" s="9"/>
      <c r="C53" s="9"/>
    </row>
    <row r="54" spans="1:3">
      <c r="A54" s="9"/>
      <c r="B54" s="9"/>
      <c r="C54" s="9"/>
    </row>
    <row r="55" spans="1:3">
      <c r="A55" s="9"/>
      <c r="B55" s="9"/>
      <c r="C55" s="9"/>
    </row>
    <row r="56" spans="1:3">
      <c r="A56" s="9"/>
      <c r="B56" s="9"/>
      <c r="C56" s="9"/>
    </row>
    <row r="57" spans="1:3">
      <c r="A57" s="9"/>
      <c r="B57" s="9"/>
      <c r="C57" s="9"/>
    </row>
    <row r="58" spans="1:3">
      <c r="A58" s="9"/>
      <c r="B58" s="9"/>
      <c r="C58" s="9"/>
    </row>
    <row r="59" spans="1:3">
      <c r="A59" s="9"/>
      <c r="B59" s="9"/>
      <c r="C59" s="9"/>
    </row>
    <row r="60" spans="1:3">
      <c r="A60" s="9"/>
      <c r="B60" s="9"/>
      <c r="C60" s="9"/>
    </row>
    <row r="61" spans="1:3">
      <c r="A61" s="9"/>
      <c r="B61" s="9"/>
      <c r="C61" s="9"/>
    </row>
    <row r="62" spans="1:3">
      <c r="A62" s="9"/>
      <c r="B62" s="9"/>
      <c r="C62" s="9"/>
    </row>
    <row r="63" spans="1:3">
      <c r="A63" s="9"/>
      <c r="B63" s="9"/>
      <c r="C63" s="9"/>
    </row>
    <row r="64" spans="1:3">
      <c r="A64" s="9"/>
      <c r="B64" s="9"/>
      <c r="C64" s="9"/>
    </row>
    <row r="65" spans="1:3">
      <c r="A65" s="9"/>
      <c r="B65" s="9"/>
      <c r="C65" s="9"/>
    </row>
    <row r="66" spans="1:3">
      <c r="A66" s="9"/>
      <c r="B66" s="9"/>
      <c r="C66" s="9"/>
    </row>
    <row r="67" spans="1:3">
      <c r="A67" s="9"/>
      <c r="B67" s="9"/>
      <c r="C67" s="9"/>
    </row>
    <row r="68" spans="1:3">
      <c r="A68" s="9"/>
      <c r="B68" s="9"/>
      <c r="C68" s="9"/>
    </row>
    <row r="69" spans="1:3">
      <c r="A69" s="9"/>
      <c r="B69" s="9"/>
      <c r="C69" s="9"/>
    </row>
    <row r="70" spans="1:3">
      <c r="A70" s="9"/>
      <c r="B70" s="9"/>
      <c r="C70" s="9"/>
    </row>
    <row r="71" spans="1:3">
      <c r="A71" s="9"/>
      <c r="B71" s="9"/>
      <c r="C71" s="9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2:AB27"/>
  <sheetViews>
    <sheetView workbookViewId="0">
      <selection activeCell="D35" sqref="D35"/>
    </sheetView>
  </sheetViews>
  <sheetFormatPr defaultColWidth="8.72727272727273" defaultRowHeight="14"/>
  <cols>
    <col min="1" max="1" width="13" customWidth="1"/>
    <col min="2" max="4" width="17.9090909090909" customWidth="1"/>
    <col min="5" max="5" width="17.7272727272727" customWidth="1"/>
    <col min="6" max="6" width="13" customWidth="1"/>
    <col min="7" max="7" width="12.8181818181818" customWidth="1"/>
    <col min="10" max="10" width="32.2727272727273" customWidth="1"/>
    <col min="11" max="11" width="25.2727272727273" customWidth="1"/>
    <col min="12" max="12" width="28.1818181818182" customWidth="1"/>
    <col min="13" max="13" width="23.6363636363636" customWidth="1"/>
    <col min="14" max="15" width="25.2727272727273" customWidth="1"/>
    <col min="16" max="16" width="32" customWidth="1"/>
    <col min="17" max="17" width="20.8181818181818" customWidth="1"/>
    <col min="18" max="19" width="25.2727272727273" customWidth="1"/>
    <col min="20" max="20" width="18.5454545454545" customWidth="1"/>
    <col min="21" max="21" width="23" customWidth="1"/>
    <col min="22" max="22" width="30" customWidth="1"/>
    <col min="23" max="23" width="27.5454545454545" customWidth="1"/>
    <col min="24" max="26" width="20.8181818181818" customWidth="1"/>
    <col min="27" max="28" width="18.5454545454545" customWidth="1"/>
  </cols>
  <sheetData>
    <row r="12" spans="2:28">
      <c r="B12" s="4" t="s">
        <v>168</v>
      </c>
      <c r="C12" s="4"/>
      <c r="D12" s="4"/>
      <c r="E12" s="4"/>
      <c r="F12" s="4"/>
      <c r="G12" s="4"/>
      <c r="J12" s="9" t="s">
        <v>169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ht="17.5" spans="2:28">
      <c r="B13" s="5" t="s">
        <v>54</v>
      </c>
      <c r="C13" s="6" t="s">
        <v>74</v>
      </c>
      <c r="D13" s="5" t="s">
        <v>99</v>
      </c>
      <c r="E13" s="6" t="s">
        <v>118</v>
      </c>
      <c r="F13" s="6" t="s">
        <v>138</v>
      </c>
      <c r="G13" s="6" t="s">
        <v>155</v>
      </c>
      <c r="J13" s="5" t="s">
        <v>55</v>
      </c>
      <c r="K13" s="5" t="s">
        <v>59</v>
      </c>
      <c r="L13" s="5" t="s">
        <v>66</v>
      </c>
      <c r="M13" s="5" t="s">
        <v>71</v>
      </c>
      <c r="N13" s="5" t="s">
        <v>75</v>
      </c>
      <c r="O13" s="5" t="s">
        <v>82</v>
      </c>
      <c r="P13" s="5" t="s">
        <v>87</v>
      </c>
      <c r="Q13" s="5" t="s">
        <v>94</v>
      </c>
      <c r="R13" s="5" t="s">
        <v>100</v>
      </c>
      <c r="S13" s="5" t="s">
        <v>107</v>
      </c>
      <c r="T13" s="5" t="s">
        <v>112</v>
      </c>
      <c r="U13" s="5" t="s">
        <v>115</v>
      </c>
      <c r="V13" s="5" t="s">
        <v>119</v>
      </c>
      <c r="W13" s="5" t="s">
        <v>130</v>
      </c>
      <c r="X13" s="5" t="s">
        <v>135</v>
      </c>
      <c r="Y13" s="5" t="s">
        <v>139</v>
      </c>
      <c r="Z13" s="5" t="s">
        <v>148</v>
      </c>
      <c r="AA13" s="5" t="s">
        <v>156</v>
      </c>
      <c r="AB13" s="5" t="s">
        <v>163</v>
      </c>
    </row>
    <row r="14" spans="2:28">
      <c r="B14" s="7" t="s">
        <v>55</v>
      </c>
      <c r="C14" s="8" t="s">
        <v>75</v>
      </c>
      <c r="D14" s="8" t="s">
        <v>100</v>
      </c>
      <c r="E14" s="8" t="s">
        <v>119</v>
      </c>
      <c r="F14" s="8" t="s">
        <v>139</v>
      </c>
      <c r="G14" s="8" t="s">
        <v>156</v>
      </c>
      <c r="J14" s="8" t="s">
        <v>56</v>
      </c>
      <c r="K14" s="8" t="s">
        <v>60</v>
      </c>
      <c r="L14" s="8" t="s">
        <v>67</v>
      </c>
      <c r="M14" s="8" t="s">
        <v>72</v>
      </c>
      <c r="N14" s="8" t="s">
        <v>76</v>
      </c>
      <c r="O14" s="8" t="s">
        <v>83</v>
      </c>
      <c r="P14" s="8" t="s">
        <v>88</v>
      </c>
      <c r="Q14" s="8" t="s">
        <v>95</v>
      </c>
      <c r="R14" s="8" t="s">
        <v>101</v>
      </c>
      <c r="S14" s="8" t="s">
        <v>108</v>
      </c>
      <c r="T14" s="8" t="s">
        <v>113</v>
      </c>
      <c r="U14" s="8" t="s">
        <v>116</v>
      </c>
      <c r="V14" s="8" t="s">
        <v>120</v>
      </c>
      <c r="W14" s="8" t="s">
        <v>131</v>
      </c>
      <c r="X14" s="8" t="s">
        <v>136</v>
      </c>
      <c r="Y14" s="8" t="s">
        <v>140</v>
      </c>
      <c r="Z14" s="8" t="s">
        <v>149</v>
      </c>
      <c r="AA14" s="8" t="s">
        <v>157</v>
      </c>
      <c r="AB14" s="8" t="s">
        <v>164</v>
      </c>
    </row>
    <row r="15" spans="2:28">
      <c r="B15" s="7" t="s">
        <v>59</v>
      </c>
      <c r="C15" s="8" t="s">
        <v>82</v>
      </c>
      <c r="D15" s="8" t="s">
        <v>107</v>
      </c>
      <c r="E15" s="8" t="s">
        <v>130</v>
      </c>
      <c r="F15" s="8" t="s">
        <v>148</v>
      </c>
      <c r="G15" s="8" t="s">
        <v>163</v>
      </c>
      <c r="J15" s="8" t="s">
        <v>45</v>
      </c>
      <c r="K15" s="8" t="s">
        <v>62</v>
      </c>
      <c r="L15" s="8" t="s">
        <v>69</v>
      </c>
      <c r="M15" s="7"/>
      <c r="N15" s="8" t="s">
        <v>78</v>
      </c>
      <c r="O15" s="8" t="s">
        <v>85</v>
      </c>
      <c r="P15" s="8" t="s">
        <v>90</v>
      </c>
      <c r="Q15" s="8" t="s">
        <v>97</v>
      </c>
      <c r="R15" s="8" t="s">
        <v>103</v>
      </c>
      <c r="S15" s="8" t="s">
        <v>110</v>
      </c>
      <c r="T15" s="7"/>
      <c r="U15" s="7"/>
      <c r="V15" s="8" t="s">
        <v>122</v>
      </c>
      <c r="W15" s="8" t="s">
        <v>133</v>
      </c>
      <c r="X15" s="7"/>
      <c r="Y15" s="8" t="s">
        <v>142</v>
      </c>
      <c r="Z15" s="8" t="s">
        <v>151</v>
      </c>
      <c r="AA15" s="8" t="s">
        <v>159</v>
      </c>
      <c r="AB15" s="8" t="s">
        <v>166</v>
      </c>
    </row>
    <row r="16" spans="2:28">
      <c r="B16" s="7" t="s">
        <v>66</v>
      </c>
      <c r="C16" s="8" t="s">
        <v>87</v>
      </c>
      <c r="D16" s="8" t="s">
        <v>112</v>
      </c>
      <c r="E16" s="8" t="s">
        <v>135</v>
      </c>
      <c r="F16" s="7"/>
      <c r="G16" s="7"/>
      <c r="J16" s="7"/>
      <c r="K16" s="8" t="s">
        <v>64</v>
      </c>
      <c r="L16" s="7"/>
      <c r="M16" s="7"/>
      <c r="N16" s="8" t="s">
        <v>80</v>
      </c>
      <c r="O16" s="7"/>
      <c r="P16" s="8" t="s">
        <v>92</v>
      </c>
      <c r="Q16" s="7"/>
      <c r="R16" s="8" t="s">
        <v>105</v>
      </c>
      <c r="S16" s="7"/>
      <c r="T16" s="7"/>
      <c r="U16" s="7"/>
      <c r="V16" s="8" t="s">
        <v>124</v>
      </c>
      <c r="W16" s="7"/>
      <c r="X16" s="7"/>
      <c r="Y16" s="8" t="s">
        <v>144</v>
      </c>
      <c r="Z16" s="8" t="s">
        <v>153</v>
      </c>
      <c r="AA16" s="8" t="s">
        <v>161</v>
      </c>
      <c r="AB16" s="7"/>
    </row>
    <row r="17" spans="2:28">
      <c r="B17" s="7" t="s">
        <v>71</v>
      </c>
      <c r="C17" s="8" t="s">
        <v>94</v>
      </c>
      <c r="D17" s="8" t="s">
        <v>115</v>
      </c>
      <c r="E17" s="7"/>
      <c r="F17" s="7"/>
      <c r="G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 t="s">
        <v>126</v>
      </c>
      <c r="W17" s="7"/>
      <c r="X17" s="7"/>
      <c r="Y17" s="8" t="s">
        <v>146</v>
      </c>
      <c r="Z17" s="7"/>
      <c r="AA17" s="7"/>
      <c r="AB17" s="7"/>
    </row>
    <row r="18" spans="10:28"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 t="s">
        <v>128</v>
      </c>
      <c r="W18" s="7"/>
      <c r="X18" s="7"/>
      <c r="Y18" s="7"/>
      <c r="Z18" s="7"/>
      <c r="AA18" s="7"/>
      <c r="AB18" s="7"/>
    </row>
    <row r="19" spans="10:28"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2:28">
      <c r="B20" t="s">
        <v>170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0:28"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0:28"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0:28"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0:28"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0:28"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0:28"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0:28"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</sheetData>
  <mergeCells count="2">
    <mergeCell ref="B12:G12"/>
    <mergeCell ref="J12:AB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B13" sqref="B13:B14"/>
    </sheetView>
  </sheetViews>
  <sheetFormatPr defaultColWidth="9" defaultRowHeight="14" outlineLevelRow="6"/>
  <cols>
    <col min="1" max="1" width="13.2727272727273" customWidth="1"/>
    <col min="2" max="2" width="6.45454545454545" customWidth="1"/>
    <col min="3" max="3" width="30.1818181818182" customWidth="1"/>
    <col min="4" max="4" width="13.9090909090909" customWidth="1"/>
    <col min="5" max="5" width="14.5454545454545" customWidth="1"/>
    <col min="6" max="6" width="5.36363636363636" customWidth="1"/>
    <col min="7" max="7" width="33.1818181818182" customWidth="1"/>
  </cols>
  <sheetData>
    <row r="1" ht="15" spans="1:12">
      <c r="A1" s="1" t="s">
        <v>31</v>
      </c>
      <c r="B1" s="1" t="s">
        <v>171</v>
      </c>
      <c r="C1" s="1" t="s">
        <v>172</v>
      </c>
      <c r="D1"/>
      <c r="E1" s="1" t="s">
        <v>32</v>
      </c>
      <c r="F1" s="1" t="s">
        <v>171</v>
      </c>
      <c r="G1" s="2" t="s">
        <v>172</v>
      </c>
      <c r="L1" t="s">
        <v>173</v>
      </c>
    </row>
    <row r="2" ht="15.5" spans="1:7">
      <c r="A2" s="3" t="s">
        <v>47</v>
      </c>
      <c r="B2" s="3">
        <v>6</v>
      </c>
      <c r="C2" s="3" t="s">
        <v>174</v>
      </c>
      <c r="D2"/>
      <c r="E2" s="3" t="s">
        <v>175</v>
      </c>
      <c r="F2" s="3">
        <v>6</v>
      </c>
      <c r="G2" s="3" t="s">
        <v>176</v>
      </c>
    </row>
    <row r="3" ht="15.5" spans="1:7">
      <c r="A3" s="3" t="s">
        <v>177</v>
      </c>
      <c r="B3" s="3">
        <v>5</v>
      </c>
      <c r="C3" s="3" t="s">
        <v>178</v>
      </c>
      <c r="D3"/>
      <c r="E3" s="3" t="s">
        <v>179</v>
      </c>
      <c r="F3" s="3">
        <v>5</v>
      </c>
      <c r="G3" s="3" t="s">
        <v>180</v>
      </c>
    </row>
    <row r="4" ht="15.5" spans="1:7">
      <c r="A4" s="3" t="s">
        <v>181</v>
      </c>
      <c r="B4" s="3">
        <v>4</v>
      </c>
      <c r="C4" s="3" t="s">
        <v>182</v>
      </c>
      <c r="D4"/>
      <c r="E4" s="3" t="s">
        <v>48</v>
      </c>
      <c r="F4" s="3">
        <v>3</v>
      </c>
      <c r="G4" s="3" t="s">
        <v>183</v>
      </c>
    </row>
    <row r="5" ht="15.5" spans="1:7">
      <c r="A5" s="3" t="s">
        <v>184</v>
      </c>
      <c r="B5" s="3">
        <v>3</v>
      </c>
      <c r="C5" s="3" t="s">
        <v>185</v>
      </c>
      <c r="D5"/>
      <c r="E5" s="3" t="s">
        <v>186</v>
      </c>
      <c r="F5" s="3">
        <v>2</v>
      </c>
      <c r="G5" s="3" t="s">
        <v>187</v>
      </c>
    </row>
    <row r="6" ht="15.5" spans="1:7">
      <c r="A6" s="3" t="s">
        <v>188</v>
      </c>
      <c r="B6" s="3">
        <v>2</v>
      </c>
      <c r="C6" s="3" t="s">
        <v>189</v>
      </c>
      <c r="D6"/>
      <c r="E6" s="3" t="s">
        <v>190</v>
      </c>
      <c r="F6" s="3">
        <v>1</v>
      </c>
      <c r="G6" s="3" t="s">
        <v>191</v>
      </c>
    </row>
    <row r="7" ht="15.5" spans="1:3">
      <c r="A7" s="3" t="s">
        <v>192</v>
      </c>
      <c r="B7" s="3">
        <v>1</v>
      </c>
      <c r="C7" s="3" t="s">
        <v>193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4" sqref="G24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上访人档案表</vt:lpstr>
      <vt:lpstr>具体反侦察手段统计表</vt:lpstr>
      <vt:lpstr>Sheet1</vt:lpstr>
      <vt:lpstr>在京通行方式赋分统计表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董冰</cp:lastModifiedBy>
  <dcterms:created xsi:type="dcterms:W3CDTF">2025-10-28T01:48:00Z</dcterms:created>
  <dcterms:modified xsi:type="dcterms:W3CDTF">2025-10-29T09:01:12Z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31EC73D7E74F41DFBF68B98A7B12A4E7_12</vt:lpwstr>
  </property>
</Properties>
</file>